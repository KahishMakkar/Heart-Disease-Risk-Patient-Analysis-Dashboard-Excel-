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9_{2526EE48-D16F-4811-99F2-456F700787E2}" xr6:coauthVersionLast="47" xr6:coauthVersionMax="47" xr10:uidLastSave="{00000000-0000-0000-0000-000000000000}"/>
  <bookViews>
    <workbookView xWindow="-110" yWindow="-110" windowWidth="19420" windowHeight="11020" firstSheet="4" activeTab="6" xr2:uid="{CD08F5C7-2B71-48EA-BA14-04D8EC3E49DA}"/>
  </bookViews>
  <sheets>
    <sheet name="Dataset" sheetId="1" r:id="rId1"/>
    <sheet name="Data Cleaning &amp; Preparation" sheetId="2" r:id="rId2"/>
    <sheet name="Core Excel Functions" sheetId="3" r:id="rId3"/>
    <sheet name="Logical &amp; Business Logic" sheetId="4" r:id="rId4"/>
    <sheet name="Text Functions" sheetId="5" r:id="rId5"/>
    <sheet name="Lookup &amp; Reference" sheetId="6" r:id="rId6"/>
    <sheet name="Pivot Tables" sheetId="7" r:id="rId7"/>
    <sheet name="Dashboards" sheetId="8" r:id="rId8"/>
  </sheets>
  <calcPr calcId="0"/>
  <pivotCaches>
    <pivotCache cacheId="12" r:id="rId9"/>
  </pivotCaches>
</workbook>
</file>

<file path=xl/calcChain.xml><?xml version="1.0" encoding="utf-8"?>
<calcChain xmlns="http://schemas.openxmlformats.org/spreadsheetml/2006/main">
  <c r="C12" i="6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R2" i="1" a="1"/>
  <c r="R2" i="1" s="1"/>
  <c r="R3" i="1" a="1"/>
  <c r="R3" i="1" s="1"/>
  <c r="R4" i="1" a="1"/>
  <c r="R4" i="1" s="1"/>
  <c r="R5" i="1" a="1"/>
  <c r="R5" i="1" s="1"/>
  <c r="R6" i="1" a="1"/>
  <c r="R6" i="1" s="1"/>
  <c r="R7" i="1" a="1"/>
  <c r="R7" i="1" s="1"/>
  <c r="R8" i="1" a="1"/>
  <c r="R8" i="1" s="1"/>
  <c r="R9" i="1" a="1"/>
  <c r="R9" i="1" s="1"/>
  <c r="R10" i="1" a="1"/>
  <c r="R10" i="1" s="1"/>
  <c r="R11" i="1" a="1"/>
  <c r="R11" i="1" s="1"/>
  <c r="R12" i="1" a="1"/>
  <c r="R12" i="1" s="1"/>
  <c r="R13" i="1" a="1"/>
  <c r="R13" i="1" s="1"/>
  <c r="R14" i="1" a="1"/>
  <c r="R14" i="1" s="1"/>
  <c r="R15" i="1" a="1"/>
  <c r="R15" i="1" s="1"/>
  <c r="R16" i="1" a="1"/>
  <c r="R16" i="1" s="1"/>
  <c r="R17" i="1" a="1"/>
  <c r="R17" i="1" s="1"/>
  <c r="R18" i="1" a="1"/>
  <c r="R18" i="1" s="1"/>
  <c r="R19" i="1" a="1"/>
  <c r="R19" i="1" s="1"/>
  <c r="R20" i="1" a="1"/>
  <c r="R20" i="1" s="1"/>
  <c r="R21" i="1" a="1"/>
  <c r="R21" i="1" s="1"/>
  <c r="R22" i="1" a="1"/>
  <c r="R22" i="1" s="1"/>
  <c r="R23" i="1" a="1"/>
  <c r="R23" i="1" s="1"/>
  <c r="R24" i="1" a="1"/>
  <c r="R24" i="1" s="1"/>
  <c r="R25" i="1" a="1"/>
  <c r="R25" i="1" s="1"/>
  <c r="R26" i="1" a="1"/>
  <c r="R26" i="1" s="1"/>
  <c r="R27" i="1" a="1"/>
  <c r="R27" i="1" s="1"/>
  <c r="R28" i="1" a="1"/>
  <c r="R28" i="1" s="1"/>
  <c r="R29" i="1" a="1"/>
  <c r="R29" i="1" s="1"/>
  <c r="R30" i="1" a="1"/>
  <c r="R30" i="1" s="1"/>
  <c r="R31" i="1" a="1"/>
  <c r="R31" i="1" s="1"/>
  <c r="R32" i="1" a="1"/>
  <c r="R32" i="1" s="1"/>
  <c r="R33" i="1" a="1"/>
  <c r="R33" i="1" s="1"/>
  <c r="R34" i="1" a="1"/>
  <c r="R34" i="1" s="1"/>
  <c r="R35" i="1" a="1"/>
  <c r="R35" i="1" s="1"/>
  <c r="R36" i="1" a="1"/>
  <c r="R36" i="1" s="1"/>
  <c r="R37" i="1" a="1"/>
  <c r="R37" i="1" s="1"/>
  <c r="R38" i="1" a="1"/>
  <c r="R38" i="1" s="1"/>
  <c r="R39" i="1" a="1"/>
  <c r="R39" i="1" s="1"/>
  <c r="R40" i="1" a="1"/>
  <c r="R40" i="1" s="1"/>
  <c r="R41" i="1" a="1"/>
  <c r="R41" i="1" s="1"/>
  <c r="R42" i="1" a="1"/>
  <c r="R42" i="1" s="1"/>
  <c r="R43" i="1" a="1"/>
  <c r="R43" i="1" s="1"/>
  <c r="R44" i="1" a="1"/>
  <c r="R44" i="1"/>
  <c r="R45" i="1" a="1"/>
  <c r="R45" i="1" s="1"/>
  <c r="R46" i="1" a="1"/>
  <c r="R46" i="1" s="1"/>
  <c r="R47" i="1" a="1"/>
  <c r="R47" i="1" s="1"/>
  <c r="R48" i="1" a="1"/>
  <c r="R48" i="1" s="1"/>
  <c r="R49" i="1" a="1"/>
  <c r="R49" i="1" s="1"/>
  <c r="R50" i="1" a="1"/>
  <c r="R50" i="1" s="1"/>
  <c r="R51" i="1" a="1"/>
  <c r="R51" i="1" s="1"/>
  <c r="R52" i="1" a="1"/>
  <c r="R52" i="1" s="1"/>
  <c r="R53" i="1" a="1"/>
  <c r="R53" i="1" s="1"/>
  <c r="R54" i="1" a="1"/>
  <c r="R54" i="1" s="1"/>
  <c r="R55" i="1" a="1"/>
  <c r="R55" i="1" s="1"/>
  <c r="R56" i="1" a="1"/>
  <c r="R56" i="1" s="1"/>
  <c r="R57" i="1" a="1"/>
  <c r="R57" i="1" s="1"/>
  <c r="R58" i="1" a="1"/>
  <c r="R58" i="1" s="1"/>
  <c r="R59" i="1" a="1"/>
  <c r="R59" i="1" s="1"/>
  <c r="R60" i="1" a="1"/>
  <c r="R60" i="1" s="1"/>
  <c r="R61" i="1" a="1"/>
  <c r="R61" i="1" s="1"/>
  <c r="R62" i="1" a="1"/>
  <c r="R62" i="1" s="1"/>
  <c r="R63" i="1" a="1"/>
  <c r="R63" i="1" s="1"/>
  <c r="R64" i="1" a="1"/>
  <c r="R64" i="1" s="1"/>
  <c r="R65" i="1" a="1"/>
  <c r="R65" i="1" s="1"/>
  <c r="R66" i="1" a="1"/>
  <c r="R66" i="1" s="1"/>
  <c r="R67" i="1" a="1"/>
  <c r="R67" i="1" s="1"/>
  <c r="R68" i="1" a="1"/>
  <c r="R68" i="1" s="1"/>
  <c r="R69" i="1" a="1"/>
  <c r="R69" i="1" s="1"/>
  <c r="R70" i="1" a="1"/>
  <c r="R70" i="1" s="1"/>
  <c r="R71" i="1" a="1"/>
  <c r="R71" i="1" s="1"/>
  <c r="R72" i="1" a="1"/>
  <c r="R72" i="1" s="1"/>
  <c r="R73" i="1" a="1"/>
  <c r="R73" i="1" s="1"/>
  <c r="R74" i="1" a="1"/>
  <c r="R74" i="1" s="1"/>
  <c r="R75" i="1" a="1"/>
  <c r="R75" i="1" s="1"/>
  <c r="R76" i="1" a="1"/>
  <c r="R76" i="1" s="1"/>
  <c r="R77" i="1" a="1"/>
  <c r="R77" i="1" s="1"/>
  <c r="R78" i="1" a="1"/>
  <c r="R78" i="1" s="1"/>
  <c r="R79" i="1" a="1"/>
  <c r="R79" i="1" s="1"/>
  <c r="R80" i="1" a="1"/>
  <c r="R80" i="1" s="1"/>
  <c r="R81" i="1" a="1"/>
  <c r="R81" i="1"/>
  <c r="R82" i="1" a="1"/>
  <c r="R82" i="1" s="1"/>
  <c r="R83" i="1" a="1"/>
  <c r="R83" i="1" s="1"/>
  <c r="R84" i="1" a="1"/>
  <c r="R84" i="1" s="1"/>
  <c r="R85" i="1" a="1"/>
  <c r="R85" i="1" s="1"/>
  <c r="R86" i="1" a="1"/>
  <c r="R86" i="1" s="1"/>
  <c r="R87" i="1" a="1"/>
  <c r="R87" i="1" s="1"/>
  <c r="R88" i="1" a="1"/>
  <c r="R88" i="1" s="1"/>
  <c r="R89" i="1" a="1"/>
  <c r="R89" i="1" s="1"/>
  <c r="R90" i="1" a="1"/>
  <c r="R90" i="1" s="1"/>
  <c r="R91" i="1" a="1"/>
  <c r="R91" i="1" s="1"/>
  <c r="R92" i="1" a="1"/>
  <c r="R92" i="1" s="1"/>
  <c r="R93" i="1" a="1"/>
  <c r="R93" i="1" s="1"/>
  <c r="R94" i="1" a="1"/>
  <c r="R94" i="1" s="1"/>
  <c r="R95" i="1" a="1"/>
  <c r="R95" i="1" s="1"/>
  <c r="R96" i="1" a="1"/>
  <c r="R96" i="1" s="1"/>
  <c r="R97" i="1" a="1"/>
  <c r="R97" i="1" s="1"/>
  <c r="R98" i="1" a="1"/>
  <c r="R98" i="1" s="1"/>
  <c r="R99" i="1" a="1"/>
  <c r="R99" i="1" s="1"/>
  <c r="R100" i="1" a="1"/>
  <c r="R100" i="1" s="1"/>
  <c r="R101" i="1" a="1"/>
  <c r="R101" i="1" s="1"/>
  <c r="R102" i="1" a="1"/>
  <c r="R102" i="1" s="1"/>
  <c r="R103" i="1" a="1"/>
  <c r="R103" i="1" s="1"/>
  <c r="R104" i="1" a="1"/>
  <c r="R104" i="1" s="1"/>
  <c r="R105" i="1" a="1"/>
  <c r="R105" i="1" s="1"/>
  <c r="R106" i="1" a="1"/>
  <c r="R106" i="1" s="1"/>
  <c r="R107" i="1" a="1"/>
  <c r="R107" i="1" s="1"/>
  <c r="R108" i="1" a="1"/>
  <c r="R108" i="1" s="1"/>
  <c r="R109" i="1" a="1"/>
  <c r="R109" i="1"/>
  <c r="R110" i="1" a="1"/>
  <c r="R110" i="1" s="1"/>
  <c r="R111" i="1" a="1"/>
  <c r="R111" i="1" s="1"/>
  <c r="R112" i="1" a="1"/>
  <c r="R112" i="1" s="1"/>
  <c r="R113" i="1" a="1"/>
  <c r="R113" i="1" s="1"/>
  <c r="R114" i="1" a="1"/>
  <c r="R114" i="1" s="1"/>
  <c r="R115" i="1" a="1"/>
  <c r="R115" i="1"/>
  <c r="R116" i="1" a="1"/>
  <c r="R116" i="1" s="1"/>
  <c r="R117" i="1" a="1"/>
  <c r="R117" i="1" s="1"/>
  <c r="R118" i="1" a="1"/>
  <c r="R118" i="1" s="1"/>
  <c r="R119" i="1" a="1"/>
  <c r="R119" i="1" s="1"/>
  <c r="R120" i="1" a="1"/>
  <c r="R120" i="1" s="1"/>
  <c r="R121" i="1" a="1"/>
  <c r="R121" i="1" s="1"/>
  <c r="R122" i="1" a="1"/>
  <c r="R122" i="1" s="1"/>
  <c r="R123" i="1" a="1"/>
  <c r="R123" i="1" s="1"/>
  <c r="R124" i="1" a="1"/>
  <c r="R124" i="1" s="1"/>
  <c r="R125" i="1" a="1"/>
  <c r="R125" i="1" s="1"/>
  <c r="R126" i="1" a="1"/>
  <c r="R126" i="1" s="1"/>
  <c r="R127" i="1" a="1"/>
  <c r="R127" i="1" s="1"/>
  <c r="R128" i="1" a="1"/>
  <c r="R128" i="1" s="1"/>
  <c r="R129" i="1" a="1"/>
  <c r="R129" i="1" s="1"/>
  <c r="R130" i="1" a="1"/>
  <c r="R130" i="1" s="1"/>
  <c r="R131" i="1" a="1"/>
  <c r="R131" i="1" s="1"/>
  <c r="R132" i="1" a="1"/>
  <c r="R132" i="1" s="1"/>
  <c r="R133" i="1" a="1"/>
  <c r="R133" i="1" s="1"/>
  <c r="R134" i="1" a="1"/>
  <c r="R134" i="1" s="1"/>
  <c r="R135" i="1" a="1"/>
  <c r="R135" i="1" s="1"/>
  <c r="R136" i="1" a="1"/>
  <c r="R136" i="1" s="1"/>
  <c r="R137" i="1" a="1"/>
  <c r="R137" i="1" s="1"/>
  <c r="R138" i="1" a="1"/>
  <c r="R138" i="1" s="1"/>
  <c r="R139" i="1" a="1"/>
  <c r="R139" i="1" s="1"/>
  <c r="R140" i="1" a="1"/>
  <c r="R140" i="1" s="1"/>
  <c r="R141" i="1" a="1"/>
  <c r="R141" i="1" s="1"/>
  <c r="R142" i="1" a="1"/>
  <c r="R142" i="1" s="1"/>
  <c r="R143" i="1" a="1"/>
  <c r="R143" i="1" s="1"/>
  <c r="R144" i="1" a="1"/>
  <c r="R144" i="1" s="1"/>
  <c r="R145" i="1" a="1"/>
  <c r="R145" i="1" s="1"/>
  <c r="R146" i="1" a="1"/>
  <c r="R146" i="1" s="1"/>
  <c r="R147" i="1" a="1"/>
  <c r="R147" i="1" s="1"/>
  <c r="R148" i="1" a="1"/>
  <c r="R148" i="1" s="1"/>
  <c r="R149" i="1" a="1"/>
  <c r="R149" i="1" s="1"/>
  <c r="R150" i="1" a="1"/>
  <c r="R150" i="1" s="1"/>
  <c r="R151" i="1" a="1"/>
  <c r="R151" i="1" s="1"/>
  <c r="R152" i="1" a="1"/>
  <c r="R152" i="1" s="1"/>
  <c r="R153" i="1" a="1"/>
  <c r="R153" i="1" s="1"/>
  <c r="R154" i="1" a="1"/>
  <c r="R154" i="1" s="1"/>
  <c r="R155" i="1" a="1"/>
  <c r="R155" i="1" s="1"/>
  <c r="R156" i="1" a="1"/>
  <c r="R156" i="1" s="1"/>
  <c r="R157" i="1" a="1"/>
  <c r="R157" i="1" s="1"/>
  <c r="R158" i="1" a="1"/>
  <c r="R158" i="1" s="1"/>
  <c r="R159" i="1" a="1"/>
  <c r="R159" i="1" s="1"/>
  <c r="R160" i="1" a="1"/>
  <c r="R160" i="1" s="1"/>
  <c r="R161" i="1" a="1"/>
  <c r="R161" i="1" s="1"/>
  <c r="R162" i="1" a="1"/>
  <c r="R162" i="1" s="1"/>
  <c r="R163" i="1" a="1"/>
  <c r="R163" i="1" s="1"/>
  <c r="R164" i="1" a="1"/>
  <c r="R164" i="1" s="1"/>
  <c r="R165" i="1" a="1"/>
  <c r="R165" i="1" s="1"/>
  <c r="R166" i="1" a="1"/>
  <c r="R166" i="1" s="1"/>
  <c r="R167" i="1" a="1"/>
  <c r="R167" i="1" s="1"/>
  <c r="R168" i="1" a="1"/>
  <c r="R168" i="1" s="1"/>
  <c r="R169" i="1" a="1"/>
  <c r="R169" i="1" s="1"/>
  <c r="R170" i="1" a="1"/>
  <c r="R170" i="1" s="1"/>
  <c r="R171" i="1" a="1"/>
  <c r="R171" i="1" s="1"/>
  <c r="R172" i="1" a="1"/>
  <c r="R172" i="1" s="1"/>
  <c r="R173" i="1" a="1"/>
  <c r="R173" i="1" s="1"/>
  <c r="R174" i="1" a="1"/>
  <c r="R174" i="1" s="1"/>
  <c r="R175" i="1" a="1"/>
  <c r="R175" i="1" s="1"/>
  <c r="R176" i="1" a="1"/>
  <c r="R176" i="1" s="1"/>
  <c r="R177" i="1" a="1"/>
  <c r="R177" i="1" s="1"/>
  <c r="R178" i="1" a="1"/>
  <c r="R178" i="1" s="1"/>
  <c r="R179" i="1" a="1"/>
  <c r="R179" i="1" s="1"/>
  <c r="R180" i="1" a="1"/>
  <c r="R180" i="1" s="1"/>
  <c r="R181" i="1" a="1"/>
  <c r="R181" i="1" s="1"/>
  <c r="R182" i="1" a="1"/>
  <c r="R182" i="1" s="1"/>
  <c r="R183" i="1" a="1"/>
  <c r="R183" i="1" s="1"/>
  <c r="R184" i="1" a="1"/>
  <c r="R184" i="1" s="1"/>
  <c r="R185" i="1" a="1"/>
  <c r="R185" i="1" s="1"/>
  <c r="R186" i="1" a="1"/>
  <c r="R186" i="1" s="1"/>
  <c r="R187" i="1" a="1"/>
  <c r="R187" i="1" s="1"/>
  <c r="R188" i="1" a="1"/>
  <c r="R188" i="1" s="1"/>
  <c r="R189" i="1" a="1"/>
  <c r="R189" i="1" s="1"/>
  <c r="R190" i="1" a="1"/>
  <c r="R190" i="1" s="1"/>
  <c r="R191" i="1" a="1"/>
  <c r="R191" i="1" s="1"/>
  <c r="R192" i="1" a="1"/>
  <c r="R192" i="1" s="1"/>
  <c r="R193" i="1" a="1"/>
  <c r="R193" i="1" s="1"/>
  <c r="R194" i="1" a="1"/>
  <c r="R194" i="1" s="1"/>
  <c r="R195" i="1" a="1"/>
  <c r="R195" i="1" s="1"/>
  <c r="R196" i="1" a="1"/>
  <c r="R196" i="1" s="1"/>
  <c r="R197" i="1" a="1"/>
  <c r="R197" i="1" s="1"/>
  <c r="R198" i="1" a="1"/>
  <c r="R198" i="1" s="1"/>
  <c r="R199" i="1" a="1"/>
  <c r="R199" i="1" s="1"/>
  <c r="R200" i="1" a="1"/>
  <c r="R200" i="1" s="1"/>
  <c r="R201" i="1" a="1"/>
  <c r="R201" i="1" s="1"/>
  <c r="R202" i="1" a="1"/>
  <c r="R202" i="1" s="1"/>
  <c r="R203" i="1" a="1"/>
  <c r="R203" i="1" s="1"/>
  <c r="R204" i="1" a="1"/>
  <c r="R204" i="1" s="1"/>
  <c r="R205" i="1" a="1"/>
  <c r="R205" i="1" s="1"/>
  <c r="R206" i="1" a="1"/>
  <c r="R206" i="1" s="1"/>
  <c r="R207" i="1" a="1"/>
  <c r="R207" i="1" s="1"/>
  <c r="R208" i="1" a="1"/>
  <c r="R208" i="1" s="1"/>
  <c r="R209" i="1" a="1"/>
  <c r="R209" i="1" s="1"/>
  <c r="R210" i="1" a="1"/>
  <c r="R210" i="1" s="1"/>
  <c r="R211" i="1" a="1"/>
  <c r="R211" i="1"/>
  <c r="R212" i="1" a="1"/>
  <c r="R212" i="1" s="1"/>
  <c r="R213" i="1" a="1"/>
  <c r="R213" i="1" s="1"/>
  <c r="R214" i="1" a="1"/>
  <c r="R214" i="1" s="1"/>
  <c r="R215" i="1" a="1"/>
  <c r="R215" i="1" s="1"/>
  <c r="R216" i="1" a="1"/>
  <c r="R216" i="1" s="1"/>
  <c r="R217" i="1" a="1"/>
  <c r="R217" i="1" s="1"/>
  <c r="R218" i="1" a="1"/>
  <c r="R218" i="1" s="1"/>
  <c r="R219" i="1" a="1"/>
  <c r="R219" i="1" s="1"/>
  <c r="R220" i="1" a="1"/>
  <c r="R220" i="1" s="1"/>
  <c r="R221" i="1" a="1"/>
  <c r="R221" i="1" s="1"/>
  <c r="R222" i="1" a="1"/>
  <c r="R222" i="1" s="1"/>
  <c r="R223" i="1" a="1"/>
  <c r="R223" i="1" s="1"/>
  <c r="R224" i="1" a="1"/>
  <c r="R224" i="1" s="1"/>
  <c r="R225" i="1" a="1"/>
  <c r="R225" i="1" s="1"/>
  <c r="R226" i="1" a="1"/>
  <c r="R226" i="1" s="1"/>
  <c r="R227" i="1" a="1"/>
  <c r="R227" i="1" s="1"/>
  <c r="R228" i="1" a="1"/>
  <c r="R228" i="1" s="1"/>
  <c r="R229" i="1" a="1"/>
  <c r="R229" i="1" s="1"/>
  <c r="R230" i="1" a="1"/>
  <c r="R230" i="1" s="1"/>
  <c r="R231" i="1" a="1"/>
  <c r="R231" i="1" s="1"/>
  <c r="R232" i="1" a="1"/>
  <c r="R232" i="1" s="1"/>
  <c r="R233" i="1" a="1"/>
  <c r="R233" i="1" s="1"/>
  <c r="R234" i="1" a="1"/>
  <c r="R234" i="1" s="1"/>
  <c r="R235" i="1" a="1"/>
  <c r="R235" i="1" s="1"/>
  <c r="R236" i="1" a="1"/>
  <c r="R236" i="1" s="1"/>
  <c r="R237" i="1" a="1"/>
  <c r="R237" i="1" s="1"/>
  <c r="R238" i="1" a="1"/>
  <c r="R238" i="1" s="1"/>
  <c r="R239" i="1" a="1"/>
  <c r="R239" i="1" s="1"/>
  <c r="R240" i="1" a="1"/>
  <c r="R240" i="1" s="1"/>
  <c r="R241" i="1" a="1"/>
  <c r="R241" i="1" s="1"/>
  <c r="R242" i="1" a="1"/>
  <c r="R242" i="1" s="1"/>
  <c r="R243" i="1" a="1"/>
  <c r="R243" i="1" s="1"/>
  <c r="R244" i="1" a="1"/>
  <c r="R244" i="1" s="1"/>
  <c r="R245" i="1" a="1"/>
  <c r="R245" i="1" s="1"/>
  <c r="R246" i="1" a="1"/>
  <c r="R246" i="1" s="1"/>
  <c r="R247" i="1" a="1"/>
  <c r="R247" i="1" s="1"/>
  <c r="R248" i="1" a="1"/>
  <c r="R248" i="1" s="1"/>
  <c r="R249" i="1" a="1"/>
  <c r="R249" i="1" s="1"/>
  <c r="R250" i="1" a="1"/>
  <c r="R250" i="1" s="1"/>
  <c r="R251" i="1" a="1"/>
  <c r="R251" i="1" s="1"/>
  <c r="R252" i="1" a="1"/>
  <c r="R252" i="1" s="1"/>
  <c r="R253" i="1" a="1"/>
  <c r="R253" i="1" s="1"/>
  <c r="R254" i="1" a="1"/>
  <c r="R254" i="1" s="1"/>
  <c r="R255" i="1" a="1"/>
  <c r="R255" i="1" s="1"/>
  <c r="R256" i="1" a="1"/>
  <c r="R256" i="1" s="1"/>
  <c r="R257" i="1" a="1"/>
  <c r="R257" i="1" s="1"/>
  <c r="R258" i="1" a="1"/>
  <c r="R258" i="1" s="1"/>
  <c r="R259" i="1" a="1"/>
  <c r="R259" i="1" s="1"/>
  <c r="R260" i="1" a="1"/>
  <c r="R260" i="1" s="1"/>
  <c r="R261" i="1" a="1"/>
  <c r="R261" i="1"/>
  <c r="R262" i="1" a="1"/>
  <c r="R262" i="1" s="1"/>
  <c r="R263" i="1" a="1"/>
  <c r="R263" i="1" s="1"/>
  <c r="R264" i="1" a="1"/>
  <c r="R264" i="1" s="1"/>
  <c r="R265" i="1" a="1"/>
  <c r="R265" i="1" s="1"/>
  <c r="R266" i="1" a="1"/>
  <c r="R266" i="1" s="1"/>
  <c r="R267" i="1" a="1"/>
  <c r="R267" i="1" s="1"/>
  <c r="R268" i="1" a="1"/>
  <c r="R268" i="1" s="1"/>
  <c r="R269" i="1" a="1"/>
  <c r="R269" i="1" s="1"/>
  <c r="R270" i="1" a="1"/>
  <c r="R270" i="1" s="1"/>
  <c r="R271" i="1" a="1"/>
  <c r="R271" i="1" s="1"/>
  <c r="R272" i="1" a="1"/>
  <c r="R272" i="1" s="1"/>
  <c r="R273" i="1" a="1"/>
  <c r="R273" i="1" s="1"/>
  <c r="R274" i="1" a="1"/>
  <c r="R274" i="1" s="1"/>
  <c r="R275" i="1" a="1"/>
  <c r="R275" i="1" s="1"/>
  <c r="R276" i="1" a="1"/>
  <c r="R276" i="1" s="1"/>
  <c r="R277" i="1" a="1"/>
  <c r="R277" i="1" s="1"/>
  <c r="R278" i="1" a="1"/>
  <c r="R278" i="1" s="1"/>
  <c r="R279" i="1" a="1"/>
  <c r="R279" i="1" s="1"/>
  <c r="R280" i="1" a="1"/>
  <c r="R280" i="1" s="1"/>
  <c r="R281" i="1" a="1"/>
  <c r="R281" i="1" s="1"/>
  <c r="R282" i="1" a="1"/>
  <c r="R282" i="1" s="1"/>
  <c r="R283" i="1" a="1"/>
  <c r="R283" i="1" s="1"/>
  <c r="R284" i="1" a="1"/>
  <c r="R284" i="1"/>
  <c r="R285" i="1" a="1"/>
  <c r="R285" i="1" s="1"/>
  <c r="R286" i="1" a="1"/>
  <c r="R286" i="1" s="1"/>
  <c r="R287" i="1" a="1"/>
  <c r="R287" i="1" s="1"/>
  <c r="R288" i="1" a="1"/>
  <c r="R288" i="1" s="1"/>
  <c r="R289" i="1" a="1"/>
  <c r="R289" i="1" s="1"/>
  <c r="R290" i="1" a="1"/>
  <c r="R290" i="1" s="1"/>
  <c r="R291" i="1" a="1"/>
  <c r="R291" i="1" s="1"/>
  <c r="R292" i="1" a="1"/>
  <c r="R292" i="1" s="1"/>
  <c r="R293" i="1" a="1"/>
  <c r="R293" i="1" s="1"/>
  <c r="R294" i="1" a="1"/>
  <c r="R294" i="1" s="1"/>
  <c r="R295" i="1" a="1"/>
  <c r="R295" i="1" s="1"/>
  <c r="R296" i="1" a="1"/>
  <c r="R296" i="1" s="1"/>
  <c r="R297" i="1" a="1"/>
  <c r="R297" i="1" s="1"/>
  <c r="R298" i="1" a="1"/>
  <c r="R298" i="1" s="1"/>
  <c r="R299" i="1" a="1"/>
  <c r="R299" i="1" s="1"/>
  <c r="R300" i="1" a="1"/>
  <c r="R300" i="1" s="1"/>
  <c r="R301" i="1" a="1"/>
  <c r="R301" i="1" s="1"/>
  <c r="R302" i="1" a="1"/>
  <c r="R302" i="1" s="1"/>
  <c r="R303" i="1" a="1"/>
  <c r="R303" i="1" s="1"/>
  <c r="R304" i="1" a="1"/>
  <c r="R304" i="1" s="1"/>
  <c r="R305" i="1" a="1"/>
  <c r="R305" i="1" s="1"/>
  <c r="R306" i="1" a="1"/>
  <c r="R306" i="1"/>
  <c r="R307" i="1" a="1"/>
  <c r="R307" i="1" s="1"/>
  <c r="R308" i="1" a="1"/>
  <c r="R308" i="1" s="1"/>
  <c r="R309" i="1" a="1"/>
  <c r="R309" i="1" s="1"/>
  <c r="R310" i="1" a="1"/>
  <c r="R310" i="1" s="1"/>
  <c r="R311" i="1" a="1"/>
  <c r="R311" i="1" s="1"/>
  <c r="R312" i="1" a="1"/>
  <c r="R312" i="1" s="1"/>
  <c r="R313" i="1" a="1"/>
  <c r="R313" i="1" s="1"/>
  <c r="R314" i="1" a="1"/>
  <c r="R314" i="1" s="1"/>
  <c r="R315" i="1" a="1"/>
  <c r="R315" i="1" s="1"/>
  <c r="R316" i="1" a="1"/>
  <c r="R316" i="1" s="1"/>
  <c r="R317" i="1" a="1"/>
  <c r="R317" i="1" s="1"/>
  <c r="R318" i="1" a="1"/>
  <c r="R318" i="1" s="1"/>
  <c r="R319" i="1" a="1"/>
  <c r="R319" i="1" s="1"/>
  <c r="R320" i="1" a="1"/>
  <c r="R320" i="1" s="1"/>
  <c r="R321" i="1" a="1"/>
  <c r="R321" i="1" s="1"/>
  <c r="R322" i="1" a="1"/>
  <c r="R322" i="1" s="1"/>
  <c r="R323" i="1" a="1"/>
  <c r="R323" i="1" s="1"/>
  <c r="R324" i="1" a="1"/>
  <c r="R324" i="1" s="1"/>
  <c r="R325" i="1" a="1"/>
  <c r="R325" i="1" s="1"/>
  <c r="R326" i="1" a="1"/>
  <c r="R326" i="1" s="1"/>
  <c r="R327" i="1" a="1"/>
  <c r="R327" i="1" s="1"/>
  <c r="R328" i="1" a="1"/>
  <c r="R328" i="1" s="1"/>
  <c r="R329" i="1" a="1"/>
  <c r="R329" i="1" s="1"/>
  <c r="R330" i="1" a="1"/>
  <c r="R330" i="1" s="1"/>
  <c r="R331" i="1" a="1"/>
  <c r="R331" i="1" s="1"/>
  <c r="R332" i="1" a="1"/>
  <c r="R332" i="1" s="1"/>
  <c r="R333" i="1" a="1"/>
  <c r="R333" i="1" s="1"/>
  <c r="R334" i="1" a="1"/>
  <c r="R334" i="1" s="1"/>
  <c r="R335" i="1" a="1"/>
  <c r="R335" i="1" s="1"/>
  <c r="R336" i="1" a="1"/>
  <c r="R336" i="1" s="1"/>
  <c r="R337" i="1" a="1"/>
  <c r="R337" i="1" s="1"/>
  <c r="R338" i="1" a="1"/>
  <c r="R338" i="1" s="1"/>
  <c r="R339" i="1" a="1"/>
  <c r="R339" i="1" s="1"/>
  <c r="R340" i="1" a="1"/>
  <c r="R340" i="1" s="1"/>
  <c r="R341" i="1" a="1"/>
  <c r="R341" i="1" s="1"/>
  <c r="R342" i="1" a="1"/>
  <c r="R342" i="1" s="1"/>
  <c r="R343" i="1" a="1"/>
  <c r="R343" i="1" s="1"/>
  <c r="R344" i="1" a="1"/>
  <c r="R344" i="1" s="1"/>
  <c r="R345" i="1" a="1"/>
  <c r="R345" i="1" s="1"/>
  <c r="R346" i="1" a="1"/>
  <c r="R346" i="1" s="1"/>
  <c r="R347" i="1" a="1"/>
  <c r="R347" i="1" s="1"/>
  <c r="R348" i="1" a="1"/>
  <c r="R348" i="1" s="1"/>
  <c r="R349" i="1" a="1"/>
  <c r="R349" i="1" s="1"/>
  <c r="R350" i="1" a="1"/>
  <c r="R350" i="1" s="1"/>
  <c r="R351" i="1" a="1"/>
  <c r="R351" i="1" s="1"/>
  <c r="R352" i="1" a="1"/>
  <c r="R352" i="1" s="1"/>
  <c r="R353" i="1" a="1"/>
  <c r="R353" i="1" s="1"/>
  <c r="R354" i="1" a="1"/>
  <c r="R354" i="1" s="1"/>
  <c r="R355" i="1" a="1"/>
  <c r="R355" i="1" s="1"/>
  <c r="R356" i="1" a="1"/>
  <c r="R356" i="1" s="1"/>
  <c r="R357" i="1" a="1"/>
  <c r="R357" i="1" s="1"/>
  <c r="R358" i="1" a="1"/>
  <c r="R358" i="1" s="1"/>
  <c r="R359" i="1" a="1"/>
  <c r="R359" i="1" s="1"/>
  <c r="R360" i="1" a="1"/>
  <c r="R360" i="1" s="1"/>
  <c r="R361" i="1" a="1"/>
  <c r="R361" i="1" s="1"/>
  <c r="R362" i="1" a="1"/>
  <c r="R362" i="1" s="1"/>
  <c r="R363" i="1" a="1"/>
  <c r="R363" i="1" s="1"/>
  <c r="R364" i="1" a="1"/>
  <c r="R364" i="1" s="1"/>
  <c r="R365" i="1" a="1"/>
  <c r="R365" i="1" s="1"/>
  <c r="R366" i="1" a="1"/>
  <c r="R366" i="1" s="1"/>
  <c r="R367" i="1" a="1"/>
  <c r="R367" i="1" s="1"/>
  <c r="R368" i="1" a="1"/>
  <c r="R368" i="1" s="1"/>
  <c r="R369" i="1" a="1"/>
  <c r="R369" i="1" s="1"/>
  <c r="R370" i="1" a="1"/>
  <c r="R370" i="1" s="1"/>
  <c r="R371" i="1" a="1"/>
  <c r="R371" i="1" s="1"/>
  <c r="R372" i="1" a="1"/>
  <c r="R372" i="1" s="1"/>
  <c r="R373" i="1" a="1"/>
  <c r="R373" i="1" s="1"/>
  <c r="R374" i="1" a="1"/>
  <c r="R374" i="1" s="1"/>
  <c r="R375" i="1" a="1"/>
  <c r="R375" i="1" s="1"/>
  <c r="R376" i="1" a="1"/>
  <c r="R376" i="1" s="1"/>
  <c r="R377" i="1" a="1"/>
  <c r="R377" i="1" s="1"/>
  <c r="R378" i="1" a="1"/>
  <c r="R378" i="1" s="1"/>
  <c r="R379" i="1" a="1"/>
  <c r="R379" i="1" s="1"/>
  <c r="R380" i="1" a="1"/>
  <c r="R380" i="1" s="1"/>
  <c r="R381" i="1" a="1"/>
  <c r="R381" i="1" s="1"/>
  <c r="R382" i="1" a="1"/>
  <c r="R382" i="1" s="1"/>
  <c r="R383" i="1" a="1"/>
  <c r="R383" i="1" s="1"/>
  <c r="R384" i="1" a="1"/>
  <c r="R384" i="1" s="1"/>
  <c r="R385" i="1" a="1"/>
  <c r="R385" i="1" s="1"/>
  <c r="R386" i="1" a="1"/>
  <c r="R386" i="1" s="1"/>
  <c r="R387" i="1" a="1"/>
  <c r="R387" i="1" s="1"/>
  <c r="R388" i="1" a="1"/>
  <c r="R388" i="1" s="1"/>
  <c r="R389" i="1" a="1"/>
  <c r="R389" i="1" s="1"/>
  <c r="R390" i="1" a="1"/>
  <c r="R390" i="1" s="1"/>
  <c r="R391" i="1" a="1"/>
  <c r="R391" i="1" s="1"/>
  <c r="R392" i="1" a="1"/>
  <c r="R392" i="1" s="1"/>
  <c r="R393" i="1" a="1"/>
  <c r="R393" i="1" s="1"/>
  <c r="R394" i="1" a="1"/>
  <c r="R394" i="1" s="1"/>
  <c r="R395" i="1" a="1"/>
  <c r="R395" i="1" s="1"/>
  <c r="R396" i="1" a="1"/>
  <c r="R396" i="1" s="1"/>
  <c r="R397" i="1" a="1"/>
  <c r="R397" i="1" s="1"/>
  <c r="R398" i="1" a="1"/>
  <c r="R398" i="1" s="1"/>
  <c r="R399" i="1" a="1"/>
  <c r="R399" i="1" s="1"/>
  <c r="R400" i="1" a="1"/>
  <c r="R400" i="1" s="1"/>
  <c r="R401" i="1" a="1"/>
  <c r="R401" i="1" s="1"/>
  <c r="R402" i="1" a="1"/>
  <c r="R402" i="1" s="1"/>
  <c r="R403" i="1" a="1"/>
  <c r="R403" i="1" s="1"/>
  <c r="R404" i="1" a="1"/>
  <c r="R404" i="1" s="1"/>
  <c r="R405" i="1" a="1"/>
  <c r="R405" i="1" s="1"/>
  <c r="R406" i="1" a="1"/>
  <c r="R406" i="1" s="1"/>
  <c r="R407" i="1" a="1"/>
  <c r="R407" i="1" s="1"/>
  <c r="R408" i="1" a="1"/>
  <c r="R408" i="1" s="1"/>
  <c r="R409" i="1" a="1"/>
  <c r="R409" i="1" s="1"/>
  <c r="R410" i="1" a="1"/>
  <c r="R410" i="1" s="1"/>
  <c r="R411" i="1" a="1"/>
  <c r="R411" i="1" s="1"/>
  <c r="R412" i="1" a="1"/>
  <c r="R412" i="1" s="1"/>
  <c r="R413" i="1" a="1"/>
  <c r="R413" i="1" s="1"/>
  <c r="R414" i="1" a="1"/>
  <c r="R414" i="1" s="1"/>
  <c r="R415" i="1" a="1"/>
  <c r="R415" i="1" s="1"/>
  <c r="R416" i="1" a="1"/>
  <c r="R416" i="1" s="1"/>
  <c r="R417" i="1" a="1"/>
  <c r="R417" i="1" s="1"/>
  <c r="R418" i="1" a="1"/>
  <c r="R418" i="1" s="1"/>
  <c r="R419" i="1" a="1"/>
  <c r="R419" i="1" s="1"/>
  <c r="R420" i="1" a="1"/>
  <c r="R420" i="1" s="1"/>
  <c r="R421" i="1" a="1"/>
  <c r="R421" i="1" s="1"/>
  <c r="R422" i="1" a="1"/>
  <c r="R422" i="1" s="1"/>
  <c r="R423" i="1" a="1"/>
  <c r="R423" i="1" s="1"/>
  <c r="R424" i="1" a="1"/>
  <c r="R424" i="1" s="1"/>
  <c r="R425" i="1" a="1"/>
  <c r="R425" i="1" s="1"/>
  <c r="R426" i="1" a="1"/>
  <c r="R426" i="1" s="1"/>
  <c r="R427" i="1" a="1"/>
  <c r="R427" i="1" s="1"/>
  <c r="R428" i="1" a="1"/>
  <c r="R428" i="1" s="1"/>
  <c r="R429" i="1" a="1"/>
  <c r="R429" i="1" s="1"/>
  <c r="R430" i="1" a="1"/>
  <c r="R430" i="1" s="1"/>
  <c r="R431" i="1" a="1"/>
  <c r="R431" i="1" s="1"/>
  <c r="R432" i="1" a="1"/>
  <c r="R432" i="1" s="1"/>
  <c r="R433" i="1" a="1"/>
  <c r="R433" i="1" s="1"/>
  <c r="R434" i="1" a="1"/>
  <c r="R434" i="1" s="1"/>
  <c r="R435" i="1" a="1"/>
  <c r="R435" i="1" s="1"/>
  <c r="R436" i="1" a="1"/>
  <c r="R436" i="1" s="1"/>
  <c r="R437" i="1" a="1"/>
  <c r="R437" i="1" s="1"/>
  <c r="R438" i="1" a="1"/>
  <c r="R438" i="1" s="1"/>
  <c r="R439" i="1" a="1"/>
  <c r="R439" i="1" s="1"/>
  <c r="R440" i="1" a="1"/>
  <c r="R440" i="1" s="1"/>
  <c r="R441" i="1" a="1"/>
  <c r="R441" i="1" s="1"/>
  <c r="R442" i="1" a="1"/>
  <c r="R442" i="1" s="1"/>
  <c r="R443" i="1" a="1"/>
  <c r="R443" i="1" s="1"/>
  <c r="R444" i="1" a="1"/>
  <c r="R444" i="1" s="1"/>
  <c r="R445" i="1" a="1"/>
  <c r="R445" i="1" s="1"/>
  <c r="R446" i="1" a="1"/>
  <c r="R446" i="1" s="1"/>
  <c r="R447" i="1" a="1"/>
  <c r="R447" i="1" s="1"/>
  <c r="R448" i="1" a="1"/>
  <c r="R448" i="1" s="1"/>
  <c r="R449" i="1" a="1"/>
  <c r="R449" i="1" s="1"/>
  <c r="R450" i="1" a="1"/>
  <c r="R450" i="1" s="1"/>
  <c r="R451" i="1" a="1"/>
  <c r="R451" i="1" s="1"/>
  <c r="R452" i="1" a="1"/>
  <c r="R452" i="1" s="1"/>
  <c r="R453" i="1" a="1"/>
  <c r="R453" i="1" s="1"/>
  <c r="R454" i="1" a="1"/>
  <c r="R454" i="1" s="1"/>
  <c r="R455" i="1" a="1"/>
  <c r="R455" i="1" s="1"/>
  <c r="R456" i="1" a="1"/>
  <c r="R456" i="1" s="1"/>
  <c r="R457" i="1" a="1"/>
  <c r="R457" i="1" s="1"/>
  <c r="R458" i="1" a="1"/>
  <c r="R458" i="1" s="1"/>
  <c r="R459" i="1" a="1"/>
  <c r="R459" i="1" s="1"/>
  <c r="R460" i="1" a="1"/>
  <c r="R460" i="1" s="1"/>
  <c r="R461" i="1" a="1"/>
  <c r="R461" i="1" s="1"/>
  <c r="R462" i="1" a="1"/>
  <c r="R462" i="1" s="1"/>
  <c r="R463" i="1" a="1"/>
  <c r="R463" i="1" s="1"/>
  <c r="R464" i="1" a="1"/>
  <c r="R464" i="1" s="1"/>
  <c r="R465" i="1" a="1"/>
  <c r="R465" i="1" s="1"/>
  <c r="R466" i="1" a="1"/>
  <c r="R466" i="1" s="1"/>
  <c r="R467" i="1" a="1"/>
  <c r="R467" i="1" s="1"/>
  <c r="R468" i="1" a="1"/>
  <c r="R468" i="1" s="1"/>
  <c r="R469" i="1" a="1"/>
  <c r="R469" i="1" s="1"/>
  <c r="R470" i="1" a="1"/>
  <c r="R470" i="1" s="1"/>
  <c r="R471" i="1" a="1"/>
  <c r="R471" i="1" s="1"/>
  <c r="R472" i="1" a="1"/>
  <c r="R472" i="1" s="1"/>
  <c r="R473" i="1" a="1"/>
  <c r="R473" i="1" s="1"/>
  <c r="R474" i="1" a="1"/>
  <c r="R474" i="1" s="1"/>
  <c r="R475" i="1" a="1"/>
  <c r="R475" i="1" s="1"/>
  <c r="R476" i="1" a="1"/>
  <c r="R476" i="1" s="1"/>
  <c r="R477" i="1" a="1"/>
  <c r="R477" i="1" s="1"/>
  <c r="R478" i="1" a="1"/>
  <c r="R478" i="1" s="1"/>
  <c r="R479" i="1" a="1"/>
  <c r="R479" i="1" s="1"/>
  <c r="R480" i="1" a="1"/>
  <c r="R480" i="1" s="1"/>
  <c r="R481" i="1" a="1"/>
  <c r="R481" i="1" s="1"/>
  <c r="R482" i="1" a="1"/>
  <c r="R482" i="1" s="1"/>
  <c r="R483" i="1" a="1"/>
  <c r="R483" i="1" s="1"/>
  <c r="R484" i="1" a="1"/>
  <c r="R484" i="1" s="1"/>
  <c r="R485" i="1" a="1"/>
  <c r="R485" i="1" s="1"/>
  <c r="R486" i="1" a="1"/>
  <c r="R486" i="1" s="1"/>
  <c r="R487" i="1" a="1"/>
  <c r="R487" i="1" s="1"/>
  <c r="R488" i="1" a="1"/>
  <c r="R488" i="1" s="1"/>
  <c r="R489" i="1" a="1"/>
  <c r="R489" i="1" s="1"/>
  <c r="R490" i="1" a="1"/>
  <c r="R490" i="1" s="1"/>
  <c r="R491" i="1" a="1"/>
  <c r="R491" i="1" s="1"/>
  <c r="R492" i="1" a="1"/>
  <c r="R492" i="1" s="1"/>
  <c r="R493" i="1" a="1"/>
  <c r="R493" i="1" s="1"/>
  <c r="R494" i="1" a="1"/>
  <c r="R494" i="1" s="1"/>
  <c r="R495" i="1" a="1"/>
  <c r="R495" i="1" s="1"/>
  <c r="R496" i="1" a="1"/>
  <c r="R496" i="1" s="1"/>
  <c r="R497" i="1" a="1"/>
  <c r="R497" i="1" s="1"/>
  <c r="R498" i="1" a="1"/>
  <c r="R498" i="1" s="1"/>
  <c r="R499" i="1" a="1"/>
  <c r="R499" i="1" s="1"/>
  <c r="R500" i="1" a="1"/>
  <c r="R500" i="1" s="1"/>
  <c r="R501" i="1" a="1"/>
  <c r="R501" i="1" s="1"/>
  <c r="R502" i="1" a="1"/>
  <c r="R502" i="1" s="1"/>
  <c r="R503" i="1" a="1"/>
  <c r="R503" i="1" s="1"/>
  <c r="R504" i="1" a="1"/>
  <c r="R504" i="1" s="1"/>
  <c r="R505" i="1" a="1"/>
  <c r="R505" i="1"/>
  <c r="R506" i="1" a="1"/>
  <c r="R506" i="1" s="1"/>
  <c r="R507" i="1" a="1"/>
  <c r="R507" i="1" s="1"/>
  <c r="R508" i="1" a="1"/>
  <c r="R508" i="1" s="1"/>
  <c r="R509" i="1" a="1"/>
  <c r="R509" i="1" s="1"/>
  <c r="R510" i="1" a="1"/>
  <c r="R510" i="1" s="1"/>
  <c r="R511" i="1" a="1"/>
  <c r="R511" i="1" s="1"/>
  <c r="R512" i="1" a="1"/>
  <c r="R512" i="1" s="1"/>
  <c r="R513" i="1" a="1"/>
  <c r="R513" i="1" s="1"/>
  <c r="R514" i="1" a="1"/>
  <c r="R514" i="1" s="1"/>
  <c r="R515" i="1" a="1"/>
  <c r="R515" i="1" s="1"/>
  <c r="R516" i="1" a="1"/>
  <c r="R516" i="1"/>
  <c r="R517" i="1" a="1"/>
  <c r="R517" i="1" s="1"/>
  <c r="R518" i="1" a="1"/>
  <c r="R518" i="1" s="1"/>
  <c r="R519" i="1" a="1"/>
  <c r="R519" i="1" s="1"/>
  <c r="R520" i="1" a="1"/>
  <c r="R520" i="1" s="1"/>
  <c r="R521" i="1" a="1"/>
  <c r="R521" i="1" s="1"/>
  <c r="R522" i="1" a="1"/>
  <c r="R522" i="1" s="1"/>
  <c r="R523" i="1" a="1"/>
  <c r="R523" i="1" s="1"/>
  <c r="R524" i="1" a="1"/>
  <c r="R524" i="1" s="1"/>
  <c r="R525" i="1" a="1"/>
  <c r="R525" i="1" s="1"/>
  <c r="R526" i="1" a="1"/>
  <c r="R526" i="1" s="1"/>
  <c r="R527" i="1" a="1"/>
  <c r="R527" i="1"/>
  <c r="R528" i="1" a="1"/>
  <c r="R528" i="1" s="1"/>
  <c r="R529" i="1" a="1"/>
  <c r="R529" i="1" s="1"/>
  <c r="R530" i="1" a="1"/>
  <c r="R530" i="1" s="1"/>
  <c r="R531" i="1" a="1"/>
  <c r="R531" i="1" s="1"/>
  <c r="R532" i="1" a="1"/>
  <c r="R532" i="1" s="1"/>
  <c r="R533" i="1" a="1"/>
  <c r="R533" i="1" s="1"/>
  <c r="R534" i="1" a="1"/>
  <c r="R534" i="1" s="1"/>
  <c r="R535" i="1" a="1"/>
  <c r="R535" i="1" s="1"/>
  <c r="R536" i="1" a="1"/>
  <c r="R536" i="1" s="1"/>
  <c r="R537" i="1" a="1"/>
  <c r="R537" i="1" s="1"/>
  <c r="R538" i="1" a="1"/>
  <c r="R538" i="1" s="1"/>
  <c r="R539" i="1" a="1"/>
  <c r="R539" i="1" s="1"/>
  <c r="R540" i="1" a="1"/>
  <c r="R540" i="1" s="1"/>
  <c r="R541" i="1" a="1"/>
  <c r="R541" i="1" s="1"/>
  <c r="R542" i="1" a="1"/>
  <c r="R542" i="1" s="1"/>
  <c r="R543" i="1" a="1"/>
  <c r="R543" i="1" s="1"/>
  <c r="R544" i="1" a="1"/>
  <c r="R544" i="1" s="1"/>
  <c r="R545" i="1" a="1"/>
  <c r="R545" i="1" s="1"/>
  <c r="R546" i="1" a="1"/>
  <c r="R546" i="1" s="1"/>
  <c r="R547" i="1" a="1"/>
  <c r="R547" i="1" s="1"/>
  <c r="R548" i="1" a="1"/>
  <c r="R548" i="1" s="1"/>
  <c r="R549" i="1" a="1"/>
  <c r="R549" i="1" s="1"/>
  <c r="R550" i="1" a="1"/>
  <c r="R550" i="1" s="1"/>
  <c r="R551" i="1" a="1"/>
  <c r="R551" i="1" s="1"/>
  <c r="R552" i="1" a="1"/>
  <c r="R552" i="1" s="1"/>
  <c r="R553" i="1" a="1"/>
  <c r="R553" i="1" s="1"/>
  <c r="R554" i="1" a="1"/>
  <c r="R554" i="1" s="1"/>
  <c r="R555" i="1" a="1"/>
  <c r="R555" i="1" s="1"/>
  <c r="R556" i="1" a="1"/>
  <c r="R556" i="1" s="1"/>
  <c r="R557" i="1" a="1"/>
  <c r="R557" i="1" s="1"/>
  <c r="R558" i="1" a="1"/>
  <c r="R558" i="1" s="1"/>
  <c r="R559" i="1" a="1"/>
  <c r="R559" i="1" s="1"/>
  <c r="R560" i="1" a="1"/>
  <c r="R560" i="1" s="1"/>
  <c r="R561" i="1" a="1"/>
  <c r="R561" i="1" s="1"/>
  <c r="R562" i="1" a="1"/>
  <c r="R562" i="1" s="1"/>
  <c r="R563" i="1" a="1"/>
  <c r="R563" i="1" s="1"/>
  <c r="R564" i="1" a="1"/>
  <c r="R564" i="1" s="1"/>
  <c r="R565" i="1" a="1"/>
  <c r="R565" i="1" s="1"/>
  <c r="R566" i="1" a="1"/>
  <c r="R566" i="1" s="1"/>
  <c r="R567" i="1" a="1"/>
  <c r="R567" i="1" s="1"/>
  <c r="R568" i="1" a="1"/>
  <c r="R568" i="1" s="1"/>
  <c r="R569" i="1" a="1"/>
  <c r="R569" i="1" s="1"/>
  <c r="R570" i="1" a="1"/>
  <c r="R570" i="1" s="1"/>
  <c r="R571" i="1" a="1"/>
  <c r="R571" i="1" s="1"/>
  <c r="R572" i="1" a="1"/>
  <c r="R572" i="1" s="1"/>
  <c r="R573" i="1" a="1"/>
  <c r="R573" i="1" s="1"/>
  <c r="R574" i="1" a="1"/>
  <c r="R574" i="1" s="1"/>
  <c r="R575" i="1" a="1"/>
  <c r="R575" i="1"/>
  <c r="R576" i="1" a="1"/>
  <c r="R576" i="1" s="1"/>
  <c r="R577" i="1" a="1"/>
  <c r="R577" i="1" s="1"/>
  <c r="R578" i="1" a="1"/>
  <c r="R578" i="1" s="1"/>
  <c r="R579" i="1" a="1"/>
  <c r="R579" i="1" s="1"/>
  <c r="R580" i="1" a="1"/>
  <c r="R580" i="1" s="1"/>
  <c r="R581" i="1" a="1"/>
  <c r="R581" i="1" s="1"/>
  <c r="R582" i="1" a="1"/>
  <c r="R582" i="1" s="1"/>
  <c r="R583" i="1" a="1"/>
  <c r="R583" i="1" s="1"/>
  <c r="R584" i="1" a="1"/>
  <c r="R584" i="1" s="1"/>
  <c r="R585" i="1" a="1"/>
  <c r="R585" i="1" s="1"/>
  <c r="R586" i="1" a="1"/>
  <c r="R586" i="1" s="1"/>
  <c r="R587" i="1" a="1"/>
  <c r="R587" i="1"/>
  <c r="R588" i="1" a="1"/>
  <c r="R588" i="1" s="1"/>
  <c r="R589" i="1" a="1"/>
  <c r="R589" i="1" s="1"/>
  <c r="R590" i="1" a="1"/>
  <c r="R590" i="1" s="1"/>
  <c r="R591" i="1" a="1"/>
  <c r="R591" i="1" s="1"/>
  <c r="R592" i="1" a="1"/>
  <c r="R592" i="1" s="1"/>
  <c r="R593" i="1" a="1"/>
  <c r="R593" i="1" s="1"/>
  <c r="R594" i="1" a="1"/>
  <c r="R594" i="1" s="1"/>
  <c r="R595" i="1" a="1"/>
  <c r="R595" i="1" s="1"/>
  <c r="R596" i="1" a="1"/>
  <c r="R596" i="1" s="1"/>
  <c r="R597" i="1" a="1"/>
  <c r="R597" i="1" s="1"/>
  <c r="R598" i="1" a="1"/>
  <c r="R598" i="1" s="1"/>
  <c r="R599" i="1" a="1"/>
  <c r="R599" i="1" s="1"/>
  <c r="R600" i="1" a="1"/>
  <c r="R600" i="1" s="1"/>
  <c r="R601" i="1" a="1"/>
  <c r="R601" i="1" s="1"/>
  <c r="R602" i="1" a="1"/>
  <c r="R602" i="1" s="1"/>
  <c r="R603" i="1" a="1"/>
  <c r="R603" i="1" s="1"/>
  <c r="R604" i="1" a="1"/>
  <c r="R604" i="1" s="1"/>
  <c r="D31" i="3"/>
  <c r="D24" i="3" a="1"/>
  <c r="D24" i="3" s="1"/>
  <c r="E24" i="3" s="1"/>
  <c r="E18" i="3"/>
  <c r="E19" i="3"/>
  <c r="D10" i="3" a="1"/>
  <c r="D10" i="3" s="1"/>
  <c r="E10" i="3" s="1"/>
  <c r="D4" i="3"/>
  <c r="J2" i="1" a="1"/>
  <c r="J2" i="1" s="1"/>
  <c r="J3" i="1" a="1"/>
  <c r="J3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J12" i="1" a="1"/>
  <c r="J12" i="1" s="1"/>
  <c r="J13" i="1" a="1"/>
  <c r="J13" i="1" s="1"/>
  <c r="J14" i="1" a="1"/>
  <c r="J14" i="1" s="1"/>
  <c r="J15" i="1" a="1"/>
  <c r="J15" i="1" s="1"/>
  <c r="J16" i="1" a="1"/>
  <c r="J16" i="1" s="1"/>
  <c r="J17" i="1" a="1"/>
  <c r="J17" i="1" s="1"/>
  <c r="J18" i="1" a="1"/>
  <c r="J18" i="1" s="1"/>
  <c r="J19" i="1" a="1"/>
  <c r="J19" i="1" s="1"/>
  <c r="J20" i="1" a="1"/>
  <c r="J20" i="1" s="1"/>
  <c r="J21" i="1" a="1"/>
  <c r="J21" i="1" s="1"/>
  <c r="J22" i="1" a="1"/>
  <c r="J22" i="1" s="1"/>
  <c r="J23" i="1" a="1"/>
  <c r="J23" i="1" s="1"/>
  <c r="J24" i="1" a="1"/>
  <c r="J24" i="1" s="1"/>
  <c r="J25" i="1" a="1"/>
  <c r="J25" i="1" s="1"/>
  <c r="J26" i="1" a="1"/>
  <c r="J26" i="1" s="1"/>
  <c r="J27" i="1" a="1"/>
  <c r="J27" i="1" s="1"/>
  <c r="J28" i="1" a="1"/>
  <c r="J28" i="1" s="1"/>
  <c r="J29" i="1" a="1"/>
  <c r="J29" i="1" s="1"/>
  <c r="J30" i="1" a="1"/>
  <c r="J30" i="1" s="1"/>
  <c r="J31" i="1" a="1"/>
  <c r="J31" i="1" s="1"/>
  <c r="J32" i="1" a="1"/>
  <c r="J32" i="1" s="1"/>
  <c r="J33" i="1" a="1"/>
  <c r="J33" i="1" s="1"/>
  <c r="J34" i="1" a="1"/>
  <c r="J34" i="1" s="1"/>
  <c r="J35" i="1" a="1"/>
  <c r="J35" i="1" s="1"/>
  <c r="J36" i="1" a="1"/>
  <c r="J36" i="1" s="1"/>
  <c r="J37" i="1" a="1"/>
  <c r="J37" i="1" s="1"/>
  <c r="J38" i="1" a="1"/>
  <c r="J38" i="1" s="1"/>
  <c r="J39" i="1" a="1"/>
  <c r="J39" i="1" s="1"/>
  <c r="J40" i="1" a="1"/>
  <c r="J40" i="1" s="1"/>
  <c r="J41" i="1" a="1"/>
  <c r="J41" i="1" s="1"/>
  <c r="J42" i="1" a="1"/>
  <c r="J42" i="1" s="1"/>
  <c r="J43" i="1" a="1"/>
  <c r="J43" i="1" s="1"/>
  <c r="J44" i="1" a="1"/>
  <c r="J44" i="1" s="1"/>
  <c r="J45" i="1" a="1"/>
  <c r="J45" i="1" s="1"/>
  <c r="J46" i="1" a="1"/>
  <c r="J46" i="1" s="1"/>
  <c r="J47" i="1" a="1"/>
  <c r="J47" i="1" s="1"/>
  <c r="J48" i="1" a="1"/>
  <c r="J48" i="1" s="1"/>
  <c r="J49" i="1" a="1"/>
  <c r="J49" i="1" s="1"/>
  <c r="J50" i="1" a="1"/>
  <c r="J50" i="1" s="1"/>
  <c r="J51" i="1" a="1"/>
  <c r="J51" i="1" s="1"/>
  <c r="J52" i="1" a="1"/>
  <c r="J52" i="1" s="1"/>
  <c r="J53" i="1" a="1"/>
  <c r="J53" i="1" s="1"/>
  <c r="J54" i="1" a="1"/>
  <c r="J54" i="1" s="1"/>
  <c r="J55" i="1" a="1"/>
  <c r="J55" i="1" s="1"/>
  <c r="J56" i="1" a="1"/>
  <c r="J56" i="1" s="1"/>
  <c r="J57" i="1" a="1"/>
  <c r="J57" i="1" s="1"/>
  <c r="J58" i="1" a="1"/>
  <c r="J58" i="1" s="1"/>
  <c r="J59" i="1" a="1"/>
  <c r="J59" i="1" s="1"/>
  <c r="J60" i="1" a="1"/>
  <c r="J60" i="1" s="1"/>
  <c r="J61" i="1" a="1"/>
  <c r="J61" i="1" s="1"/>
  <c r="J62" i="1" a="1"/>
  <c r="J62" i="1" s="1"/>
  <c r="J63" i="1" a="1"/>
  <c r="J63" i="1" s="1"/>
  <c r="J64" i="1" a="1"/>
  <c r="J64" i="1" s="1"/>
  <c r="J65" i="1" a="1"/>
  <c r="J65" i="1" s="1"/>
  <c r="J66" i="1" a="1"/>
  <c r="J66" i="1" s="1"/>
  <c r="J67" i="1" a="1"/>
  <c r="J67" i="1" s="1"/>
  <c r="J68" i="1" a="1"/>
  <c r="J68" i="1" s="1"/>
  <c r="J69" i="1" a="1"/>
  <c r="J69" i="1" s="1"/>
  <c r="J70" i="1" a="1"/>
  <c r="J70" i="1" s="1"/>
  <c r="J71" i="1" a="1"/>
  <c r="J71" i="1" s="1"/>
  <c r="J72" i="1" a="1"/>
  <c r="J72" i="1" s="1"/>
  <c r="J73" i="1" a="1"/>
  <c r="J73" i="1" s="1"/>
  <c r="J74" i="1" a="1"/>
  <c r="J74" i="1" s="1"/>
  <c r="J75" i="1" a="1"/>
  <c r="J75" i="1" s="1"/>
  <c r="J76" i="1" a="1"/>
  <c r="J76" i="1" s="1"/>
  <c r="J77" i="1" a="1"/>
  <c r="J77" i="1" s="1"/>
  <c r="J78" i="1" a="1"/>
  <c r="J78" i="1" s="1"/>
  <c r="J79" i="1" a="1"/>
  <c r="J79" i="1" s="1"/>
  <c r="J80" i="1" a="1"/>
  <c r="J80" i="1" s="1"/>
  <c r="J81" i="1" a="1"/>
  <c r="J81" i="1" s="1"/>
  <c r="J82" i="1" a="1"/>
  <c r="J82" i="1" s="1"/>
  <c r="J83" i="1" a="1"/>
  <c r="J83" i="1" s="1"/>
  <c r="J84" i="1" a="1"/>
  <c r="J84" i="1" s="1"/>
  <c r="J85" i="1" a="1"/>
  <c r="J85" i="1" s="1"/>
  <c r="J86" i="1" a="1"/>
  <c r="J86" i="1" s="1"/>
  <c r="J87" i="1" a="1"/>
  <c r="J87" i="1" s="1"/>
  <c r="J88" i="1" a="1"/>
  <c r="J88" i="1" s="1"/>
  <c r="J89" i="1" a="1"/>
  <c r="J89" i="1" s="1"/>
  <c r="J90" i="1" a="1"/>
  <c r="J90" i="1" s="1"/>
  <c r="J91" i="1" a="1"/>
  <c r="J91" i="1" s="1"/>
  <c r="J92" i="1" a="1"/>
  <c r="J92" i="1" s="1"/>
  <c r="J93" i="1" a="1"/>
  <c r="J93" i="1" s="1"/>
  <c r="J94" i="1" a="1"/>
  <c r="J94" i="1" s="1"/>
  <c r="J95" i="1" a="1"/>
  <c r="J95" i="1" s="1"/>
  <c r="J96" i="1" a="1"/>
  <c r="J96" i="1" s="1"/>
  <c r="J97" i="1" a="1"/>
  <c r="J97" i="1" s="1"/>
  <c r="J98" i="1" a="1"/>
  <c r="J98" i="1" s="1"/>
  <c r="J99" i="1" a="1"/>
  <c r="J99" i="1" s="1"/>
  <c r="J100" i="1" a="1"/>
  <c r="J100" i="1" s="1"/>
  <c r="J101" i="1" a="1"/>
  <c r="J101" i="1" s="1"/>
  <c r="J102" i="1" a="1"/>
  <c r="J102" i="1" s="1"/>
  <c r="J103" i="1" a="1"/>
  <c r="J103" i="1" s="1"/>
  <c r="J104" i="1" a="1"/>
  <c r="J104" i="1" s="1"/>
  <c r="J105" i="1" a="1"/>
  <c r="J105" i="1" s="1"/>
  <c r="J106" i="1" a="1"/>
  <c r="J106" i="1" s="1"/>
  <c r="J107" i="1" a="1"/>
  <c r="J107" i="1" s="1"/>
  <c r="J108" i="1" a="1"/>
  <c r="J108" i="1" s="1"/>
  <c r="J109" i="1" a="1"/>
  <c r="J109" i="1" s="1"/>
  <c r="J110" i="1" a="1"/>
  <c r="J110" i="1" s="1"/>
  <c r="J111" i="1" a="1"/>
  <c r="J111" i="1" s="1"/>
  <c r="J112" i="1" a="1"/>
  <c r="J112" i="1" s="1"/>
  <c r="J113" i="1" a="1"/>
  <c r="J113" i="1" s="1"/>
  <c r="J114" i="1" a="1"/>
  <c r="J114" i="1" s="1"/>
  <c r="J115" i="1" a="1"/>
  <c r="J115" i="1" s="1"/>
  <c r="J116" i="1" a="1"/>
  <c r="J116" i="1" s="1"/>
  <c r="J117" i="1" a="1"/>
  <c r="J117" i="1" s="1"/>
  <c r="J118" i="1" a="1"/>
  <c r="J118" i="1" s="1"/>
  <c r="J119" i="1" a="1"/>
  <c r="J119" i="1"/>
  <c r="J120" i="1" a="1"/>
  <c r="J120" i="1" s="1"/>
  <c r="J121" i="1" a="1"/>
  <c r="J121" i="1" s="1"/>
  <c r="J122" i="1" a="1"/>
  <c r="J122" i="1" s="1"/>
  <c r="J123" i="1" a="1"/>
  <c r="J123" i="1" s="1"/>
  <c r="J124" i="1" a="1"/>
  <c r="J124" i="1" s="1"/>
  <c r="J125" i="1" a="1"/>
  <c r="J125" i="1" s="1"/>
  <c r="J126" i="1" a="1"/>
  <c r="J126" i="1" s="1"/>
  <c r="J127" i="1" a="1"/>
  <c r="J127" i="1" s="1"/>
  <c r="J128" i="1" a="1"/>
  <c r="J128" i="1" s="1"/>
  <c r="J129" i="1" a="1"/>
  <c r="J129" i="1" s="1"/>
  <c r="J130" i="1" a="1"/>
  <c r="J130" i="1" s="1"/>
  <c r="J131" i="1" a="1"/>
  <c r="J131" i="1" s="1"/>
  <c r="J132" i="1" a="1"/>
  <c r="J132" i="1" s="1"/>
  <c r="J133" i="1" a="1"/>
  <c r="J133" i="1" s="1"/>
  <c r="J134" i="1" a="1"/>
  <c r="J134" i="1" s="1"/>
  <c r="J135" i="1" a="1"/>
  <c r="J135" i="1" s="1"/>
  <c r="J136" i="1" a="1"/>
  <c r="J136" i="1" s="1"/>
  <c r="J137" i="1" a="1"/>
  <c r="J137" i="1" s="1"/>
  <c r="J138" i="1" a="1"/>
  <c r="J138" i="1" s="1"/>
  <c r="J139" i="1" a="1"/>
  <c r="J139" i="1" s="1"/>
  <c r="J140" i="1" a="1"/>
  <c r="J140" i="1" s="1"/>
  <c r="J141" i="1" a="1"/>
  <c r="J141" i="1" s="1"/>
  <c r="J142" i="1" a="1"/>
  <c r="J142" i="1" s="1"/>
  <c r="J143" i="1" a="1"/>
  <c r="J143" i="1" s="1"/>
  <c r="J144" i="1" a="1"/>
  <c r="J144" i="1" s="1"/>
  <c r="J145" i="1" a="1"/>
  <c r="J145" i="1" s="1"/>
  <c r="J146" i="1" a="1"/>
  <c r="J146" i="1" s="1"/>
  <c r="J147" i="1" a="1"/>
  <c r="J147" i="1" s="1"/>
  <c r="J148" i="1" a="1"/>
  <c r="J148" i="1" s="1"/>
  <c r="J149" i="1" a="1"/>
  <c r="J149" i="1" s="1"/>
  <c r="J150" i="1" a="1"/>
  <c r="J150" i="1" s="1"/>
  <c r="J151" i="1" a="1"/>
  <c r="J151" i="1" s="1"/>
  <c r="J152" i="1" a="1"/>
  <c r="J152" i="1" s="1"/>
  <c r="J153" i="1" a="1"/>
  <c r="J153" i="1" s="1"/>
  <c r="J154" i="1" a="1"/>
  <c r="J154" i="1" s="1"/>
  <c r="J155" i="1" a="1"/>
  <c r="J155" i="1" s="1"/>
  <c r="J156" i="1" a="1"/>
  <c r="J156" i="1" s="1"/>
  <c r="J157" i="1" a="1"/>
  <c r="J157" i="1" s="1"/>
  <c r="J158" i="1" a="1"/>
  <c r="J158" i="1" s="1"/>
  <c r="J159" i="1" a="1"/>
  <c r="J159" i="1" s="1"/>
  <c r="J160" i="1" a="1"/>
  <c r="J160" i="1" s="1"/>
  <c r="J161" i="1" a="1"/>
  <c r="J161" i="1" s="1"/>
  <c r="J162" i="1" a="1"/>
  <c r="J162" i="1" s="1"/>
  <c r="J163" i="1" a="1"/>
  <c r="J163" i="1" s="1"/>
  <c r="J164" i="1" a="1"/>
  <c r="J164" i="1" s="1"/>
  <c r="J165" i="1" a="1"/>
  <c r="J165" i="1" s="1"/>
  <c r="J166" i="1" a="1"/>
  <c r="J166" i="1" s="1"/>
  <c r="J167" i="1" a="1"/>
  <c r="J167" i="1" s="1"/>
  <c r="J168" i="1" a="1"/>
  <c r="J168" i="1" s="1"/>
  <c r="J169" i="1" a="1"/>
  <c r="J169" i="1" s="1"/>
  <c r="J170" i="1" a="1"/>
  <c r="J170" i="1" s="1"/>
  <c r="J171" i="1" a="1"/>
  <c r="J171" i="1" s="1"/>
  <c r="J172" i="1" a="1"/>
  <c r="J172" i="1" s="1"/>
  <c r="J173" i="1" a="1"/>
  <c r="J173" i="1" s="1"/>
  <c r="J174" i="1" a="1"/>
  <c r="J174" i="1" s="1"/>
  <c r="J175" i="1" a="1"/>
  <c r="J175" i="1" s="1"/>
  <c r="J176" i="1" a="1"/>
  <c r="J176" i="1" s="1"/>
  <c r="J177" i="1" a="1"/>
  <c r="J177" i="1" s="1"/>
  <c r="J178" i="1" a="1"/>
  <c r="J178" i="1" s="1"/>
  <c r="J179" i="1" a="1"/>
  <c r="J179" i="1" s="1"/>
  <c r="J180" i="1" a="1"/>
  <c r="J180" i="1" s="1"/>
  <c r="J181" i="1" a="1"/>
  <c r="J181" i="1" s="1"/>
  <c r="J182" i="1" a="1"/>
  <c r="J182" i="1" s="1"/>
  <c r="J183" i="1" a="1"/>
  <c r="J183" i="1" s="1"/>
  <c r="J184" i="1" a="1"/>
  <c r="J184" i="1" s="1"/>
  <c r="J185" i="1" a="1"/>
  <c r="J185" i="1" s="1"/>
  <c r="J186" i="1" a="1"/>
  <c r="J186" i="1" s="1"/>
  <c r="J187" i="1" a="1"/>
  <c r="J187" i="1" s="1"/>
  <c r="J188" i="1" a="1"/>
  <c r="J188" i="1" s="1"/>
  <c r="J189" i="1" a="1"/>
  <c r="J189" i="1" s="1"/>
  <c r="J190" i="1" a="1"/>
  <c r="J190" i="1" s="1"/>
  <c r="J191" i="1" a="1"/>
  <c r="J191" i="1" s="1"/>
  <c r="J192" i="1" a="1"/>
  <c r="J192" i="1" s="1"/>
  <c r="J193" i="1" a="1"/>
  <c r="J193" i="1" s="1"/>
  <c r="J194" i="1" a="1"/>
  <c r="J194" i="1" s="1"/>
  <c r="J195" i="1" a="1"/>
  <c r="J195" i="1" s="1"/>
  <c r="J196" i="1" a="1"/>
  <c r="J196" i="1" s="1"/>
  <c r="J197" i="1" a="1"/>
  <c r="J197" i="1" s="1"/>
  <c r="J198" i="1" a="1"/>
  <c r="J198" i="1" s="1"/>
  <c r="J199" i="1" a="1"/>
  <c r="J199" i="1" s="1"/>
  <c r="J200" i="1" a="1"/>
  <c r="J200" i="1" s="1"/>
  <c r="J201" i="1" a="1"/>
  <c r="J201" i="1" s="1"/>
  <c r="J202" i="1" a="1"/>
  <c r="J202" i="1" s="1"/>
  <c r="J203" i="1" a="1"/>
  <c r="J203" i="1" s="1"/>
  <c r="J204" i="1" a="1"/>
  <c r="J204" i="1" s="1"/>
  <c r="J205" i="1" a="1"/>
  <c r="J205" i="1" s="1"/>
  <c r="J206" i="1" a="1"/>
  <c r="J206" i="1" s="1"/>
  <c r="J207" i="1" a="1"/>
  <c r="J207" i="1" s="1"/>
  <c r="J208" i="1" a="1"/>
  <c r="J208" i="1" s="1"/>
  <c r="J209" i="1" a="1"/>
  <c r="J209" i="1" s="1"/>
  <c r="J210" i="1" a="1"/>
  <c r="J210" i="1" s="1"/>
  <c r="J211" i="1" a="1"/>
  <c r="J211" i="1" s="1"/>
  <c r="J212" i="1" a="1"/>
  <c r="J212" i="1" s="1"/>
  <c r="J213" i="1" a="1"/>
  <c r="J213" i="1" s="1"/>
  <c r="J214" i="1" a="1"/>
  <c r="J214" i="1" s="1"/>
  <c r="J215" i="1" a="1"/>
  <c r="J215" i="1" s="1"/>
  <c r="J216" i="1" a="1"/>
  <c r="J216" i="1" s="1"/>
  <c r="J217" i="1" a="1"/>
  <c r="J217" i="1" s="1"/>
  <c r="J218" i="1" a="1"/>
  <c r="J218" i="1" s="1"/>
  <c r="J219" i="1" a="1"/>
  <c r="J219" i="1" s="1"/>
  <c r="J220" i="1" a="1"/>
  <c r="J220" i="1" s="1"/>
  <c r="J221" i="1" a="1"/>
  <c r="J221" i="1" s="1"/>
  <c r="J222" i="1" a="1"/>
  <c r="J222" i="1" s="1"/>
  <c r="J223" i="1" a="1"/>
  <c r="J223" i="1" s="1"/>
  <c r="J224" i="1" a="1"/>
  <c r="J224" i="1" s="1"/>
  <c r="J225" i="1" a="1"/>
  <c r="J225" i="1" s="1"/>
  <c r="J226" i="1" a="1"/>
  <c r="J226" i="1" s="1"/>
  <c r="J227" i="1" a="1"/>
  <c r="J227" i="1" s="1"/>
  <c r="J228" i="1" a="1"/>
  <c r="J228" i="1" s="1"/>
  <c r="J229" i="1" a="1"/>
  <c r="J229" i="1" s="1"/>
  <c r="J230" i="1" a="1"/>
  <c r="J230" i="1" s="1"/>
  <c r="J231" i="1" a="1"/>
  <c r="J231" i="1" s="1"/>
  <c r="J232" i="1" a="1"/>
  <c r="J232" i="1" s="1"/>
  <c r="J233" i="1" a="1"/>
  <c r="J233" i="1" s="1"/>
  <c r="J234" i="1" a="1"/>
  <c r="J234" i="1" s="1"/>
  <c r="J235" i="1" a="1"/>
  <c r="J235" i="1" s="1"/>
  <c r="J236" i="1" a="1"/>
  <c r="J236" i="1" s="1"/>
  <c r="J237" i="1" a="1"/>
  <c r="J237" i="1" s="1"/>
  <c r="J238" i="1" a="1"/>
  <c r="J238" i="1" s="1"/>
  <c r="J239" i="1" a="1"/>
  <c r="J239" i="1" s="1"/>
  <c r="J240" i="1" a="1"/>
  <c r="J240" i="1" s="1"/>
  <c r="J241" i="1" a="1"/>
  <c r="J241" i="1" s="1"/>
  <c r="J242" i="1" a="1"/>
  <c r="J242" i="1" s="1"/>
  <c r="J243" i="1" a="1"/>
  <c r="J243" i="1" s="1"/>
  <c r="J244" i="1" a="1"/>
  <c r="J244" i="1" s="1"/>
  <c r="J245" i="1" a="1"/>
  <c r="J245" i="1" s="1"/>
  <c r="J246" i="1" a="1"/>
  <c r="J246" i="1" s="1"/>
  <c r="J247" i="1" a="1"/>
  <c r="J247" i="1" s="1"/>
  <c r="J248" i="1" a="1"/>
  <c r="J248" i="1" s="1"/>
  <c r="J249" i="1" a="1"/>
  <c r="J249" i="1" s="1"/>
  <c r="J250" i="1" a="1"/>
  <c r="J250" i="1" s="1"/>
  <c r="J251" i="1" a="1"/>
  <c r="J251" i="1" s="1"/>
  <c r="J252" i="1" a="1"/>
  <c r="J252" i="1" s="1"/>
  <c r="J253" i="1" a="1"/>
  <c r="J253" i="1" s="1"/>
  <c r="J254" i="1" a="1"/>
  <c r="J254" i="1" s="1"/>
  <c r="J255" i="1" a="1"/>
  <c r="J255" i="1" s="1"/>
  <c r="J256" i="1" a="1"/>
  <c r="J256" i="1" s="1"/>
  <c r="J257" i="1" a="1"/>
  <c r="J257" i="1" s="1"/>
  <c r="J258" i="1" a="1"/>
  <c r="J258" i="1" s="1"/>
  <c r="J259" i="1" a="1"/>
  <c r="J259" i="1" s="1"/>
  <c r="J260" i="1" a="1"/>
  <c r="J260" i="1" s="1"/>
  <c r="J261" i="1" a="1"/>
  <c r="J261" i="1" s="1"/>
  <c r="J262" i="1" a="1"/>
  <c r="J262" i="1" s="1"/>
  <c r="J263" i="1" a="1"/>
  <c r="J263" i="1" s="1"/>
  <c r="J264" i="1" a="1"/>
  <c r="J264" i="1" s="1"/>
  <c r="J265" i="1" a="1"/>
  <c r="J265" i="1" s="1"/>
  <c r="J266" i="1" a="1"/>
  <c r="J266" i="1" s="1"/>
  <c r="J267" i="1" a="1"/>
  <c r="J267" i="1" s="1"/>
  <c r="J268" i="1" a="1"/>
  <c r="J268" i="1" s="1"/>
  <c r="J269" i="1" a="1"/>
  <c r="J269" i="1" s="1"/>
  <c r="J270" i="1" a="1"/>
  <c r="J270" i="1" s="1"/>
  <c r="J271" i="1" a="1"/>
  <c r="J271" i="1" s="1"/>
  <c r="J272" i="1" a="1"/>
  <c r="J272" i="1" s="1"/>
  <c r="J273" i="1" a="1"/>
  <c r="J273" i="1" s="1"/>
  <c r="J274" i="1" a="1"/>
  <c r="J274" i="1" s="1"/>
  <c r="J275" i="1" a="1"/>
  <c r="J275" i="1" s="1"/>
  <c r="J276" i="1" a="1"/>
  <c r="J276" i="1" s="1"/>
  <c r="J277" i="1" a="1"/>
  <c r="J277" i="1" s="1"/>
  <c r="J278" i="1" a="1"/>
  <c r="J278" i="1" s="1"/>
  <c r="J279" i="1" a="1"/>
  <c r="J279" i="1" s="1"/>
  <c r="J280" i="1" a="1"/>
  <c r="J280" i="1" s="1"/>
  <c r="J281" i="1" a="1"/>
  <c r="J281" i="1" s="1"/>
  <c r="J282" i="1" a="1"/>
  <c r="J282" i="1" s="1"/>
  <c r="J283" i="1" a="1"/>
  <c r="J283" i="1" s="1"/>
  <c r="J284" i="1" a="1"/>
  <c r="J284" i="1" s="1"/>
  <c r="J285" i="1" a="1"/>
  <c r="J285" i="1" s="1"/>
  <c r="J286" i="1" a="1"/>
  <c r="J286" i="1" s="1"/>
  <c r="J287" i="1" a="1"/>
  <c r="J287" i="1" s="1"/>
  <c r="J288" i="1" a="1"/>
  <c r="J288" i="1" s="1"/>
  <c r="J289" i="1" a="1"/>
  <c r="J289" i="1" s="1"/>
  <c r="J290" i="1" a="1"/>
  <c r="J290" i="1" s="1"/>
  <c r="J291" i="1" a="1"/>
  <c r="J291" i="1" s="1"/>
  <c r="J292" i="1" a="1"/>
  <c r="J292" i="1" s="1"/>
  <c r="J293" i="1" a="1"/>
  <c r="J293" i="1" s="1"/>
  <c r="J294" i="1" a="1"/>
  <c r="J294" i="1" s="1"/>
  <c r="J295" i="1" a="1"/>
  <c r="J295" i="1" s="1"/>
  <c r="J296" i="1" a="1"/>
  <c r="J296" i="1" s="1"/>
  <c r="J297" i="1" a="1"/>
  <c r="J297" i="1" s="1"/>
  <c r="J298" i="1" a="1"/>
  <c r="J298" i="1" s="1"/>
  <c r="J299" i="1" a="1"/>
  <c r="J299" i="1" s="1"/>
  <c r="J300" i="1" a="1"/>
  <c r="J300" i="1" s="1"/>
  <c r="J301" i="1" a="1"/>
  <c r="J301" i="1" s="1"/>
  <c r="J302" i="1" a="1"/>
  <c r="J302" i="1" s="1"/>
  <c r="J303" i="1" a="1"/>
  <c r="J303" i="1" s="1"/>
  <c r="J304" i="1" a="1"/>
  <c r="J304" i="1" s="1"/>
  <c r="J305" i="1" a="1"/>
  <c r="J305" i="1" s="1"/>
  <c r="J306" i="1" a="1"/>
  <c r="J306" i="1" s="1"/>
  <c r="J307" i="1" a="1"/>
  <c r="J307" i="1" s="1"/>
  <c r="J308" i="1" a="1"/>
  <c r="J308" i="1" s="1"/>
  <c r="J309" i="1" a="1"/>
  <c r="J309" i="1" s="1"/>
  <c r="J310" i="1" a="1"/>
  <c r="J310" i="1" s="1"/>
  <c r="J311" i="1" a="1"/>
  <c r="J311" i="1" s="1"/>
  <c r="J312" i="1" a="1"/>
  <c r="J312" i="1" s="1"/>
  <c r="J313" i="1" a="1"/>
  <c r="J313" i="1" s="1"/>
  <c r="J314" i="1" a="1"/>
  <c r="J314" i="1" s="1"/>
  <c r="J315" i="1" a="1"/>
  <c r="J315" i="1" s="1"/>
  <c r="J316" i="1" a="1"/>
  <c r="J316" i="1" s="1"/>
  <c r="J317" i="1" a="1"/>
  <c r="J317" i="1" s="1"/>
  <c r="J318" i="1" a="1"/>
  <c r="J318" i="1" s="1"/>
  <c r="J319" i="1" a="1"/>
  <c r="J319" i="1" s="1"/>
  <c r="J320" i="1" a="1"/>
  <c r="J320" i="1" s="1"/>
  <c r="J321" i="1" a="1"/>
  <c r="J321" i="1" s="1"/>
  <c r="J322" i="1" a="1"/>
  <c r="J322" i="1" s="1"/>
  <c r="J323" i="1" a="1"/>
  <c r="J323" i="1" s="1"/>
  <c r="J324" i="1" a="1"/>
  <c r="J324" i="1" s="1"/>
  <c r="J325" i="1" a="1"/>
  <c r="J325" i="1" s="1"/>
  <c r="J326" i="1" a="1"/>
  <c r="J326" i="1" s="1"/>
  <c r="J327" i="1" a="1"/>
  <c r="J327" i="1" s="1"/>
  <c r="J328" i="1" a="1"/>
  <c r="J328" i="1" s="1"/>
  <c r="J329" i="1" a="1"/>
  <c r="J329" i="1" s="1"/>
  <c r="J330" i="1" a="1"/>
  <c r="J330" i="1" s="1"/>
  <c r="J331" i="1" a="1"/>
  <c r="J331" i="1" s="1"/>
  <c r="J332" i="1" a="1"/>
  <c r="J332" i="1" s="1"/>
  <c r="J333" i="1" a="1"/>
  <c r="J333" i="1" s="1"/>
  <c r="J334" i="1" a="1"/>
  <c r="J334" i="1" s="1"/>
  <c r="J335" i="1" a="1"/>
  <c r="J335" i="1" s="1"/>
  <c r="J336" i="1" a="1"/>
  <c r="J336" i="1" s="1"/>
  <c r="J337" i="1" a="1"/>
  <c r="J337" i="1" s="1"/>
  <c r="J338" i="1" a="1"/>
  <c r="J338" i="1" s="1"/>
  <c r="J339" i="1" a="1"/>
  <c r="J339" i="1" s="1"/>
  <c r="J340" i="1" a="1"/>
  <c r="J340" i="1" s="1"/>
  <c r="J341" i="1" a="1"/>
  <c r="J341" i="1" s="1"/>
  <c r="J342" i="1" a="1"/>
  <c r="J342" i="1" s="1"/>
  <c r="J343" i="1" a="1"/>
  <c r="J343" i="1" s="1"/>
  <c r="J344" i="1" a="1"/>
  <c r="J344" i="1" s="1"/>
  <c r="J345" i="1" a="1"/>
  <c r="J345" i="1" s="1"/>
  <c r="J346" i="1" a="1"/>
  <c r="J346" i="1" s="1"/>
  <c r="J347" i="1" a="1"/>
  <c r="J347" i="1" s="1"/>
  <c r="J348" i="1" a="1"/>
  <c r="J348" i="1" s="1"/>
  <c r="J349" i="1" a="1"/>
  <c r="J349" i="1" s="1"/>
  <c r="J350" i="1" a="1"/>
  <c r="J350" i="1" s="1"/>
  <c r="J351" i="1" a="1"/>
  <c r="J351" i="1" s="1"/>
  <c r="J352" i="1" a="1"/>
  <c r="J352" i="1" s="1"/>
  <c r="J353" i="1" a="1"/>
  <c r="J353" i="1" s="1"/>
  <c r="J354" i="1" a="1"/>
  <c r="J354" i="1" s="1"/>
  <c r="J355" i="1" a="1"/>
  <c r="J355" i="1" s="1"/>
  <c r="J356" i="1" a="1"/>
  <c r="J356" i="1" s="1"/>
  <c r="J357" i="1" a="1"/>
  <c r="J357" i="1" s="1"/>
  <c r="J358" i="1" a="1"/>
  <c r="J358" i="1" s="1"/>
  <c r="J359" i="1" a="1"/>
  <c r="J359" i="1" s="1"/>
  <c r="J360" i="1" a="1"/>
  <c r="J360" i="1" s="1"/>
  <c r="J361" i="1" a="1"/>
  <c r="J361" i="1" s="1"/>
  <c r="J362" i="1" a="1"/>
  <c r="J362" i="1" s="1"/>
  <c r="J363" i="1" a="1"/>
  <c r="J363" i="1" s="1"/>
  <c r="J364" i="1" a="1"/>
  <c r="J364" i="1" s="1"/>
  <c r="J365" i="1" a="1"/>
  <c r="J365" i="1" s="1"/>
  <c r="J366" i="1" a="1"/>
  <c r="J366" i="1" s="1"/>
  <c r="J367" i="1" a="1"/>
  <c r="J367" i="1" s="1"/>
  <c r="J368" i="1" a="1"/>
  <c r="J368" i="1" s="1"/>
  <c r="J369" i="1" a="1"/>
  <c r="J369" i="1" s="1"/>
  <c r="J370" i="1" a="1"/>
  <c r="J370" i="1" s="1"/>
  <c r="J371" i="1" a="1"/>
  <c r="J371" i="1" s="1"/>
  <c r="J372" i="1" a="1"/>
  <c r="J372" i="1" s="1"/>
  <c r="J373" i="1" a="1"/>
  <c r="J373" i="1" s="1"/>
  <c r="J374" i="1" a="1"/>
  <c r="J374" i="1" s="1"/>
  <c r="J375" i="1" a="1"/>
  <c r="J375" i="1" s="1"/>
  <c r="J376" i="1" a="1"/>
  <c r="J376" i="1" s="1"/>
  <c r="J377" i="1" a="1"/>
  <c r="J377" i="1" s="1"/>
  <c r="J378" i="1" a="1"/>
  <c r="J378" i="1" s="1"/>
  <c r="J379" i="1" a="1"/>
  <c r="J379" i="1" s="1"/>
  <c r="J380" i="1" a="1"/>
  <c r="J380" i="1" s="1"/>
  <c r="J381" i="1" a="1"/>
  <c r="J381" i="1" s="1"/>
  <c r="J382" i="1" a="1"/>
  <c r="J382" i="1" s="1"/>
  <c r="J383" i="1" a="1"/>
  <c r="J383" i="1" s="1"/>
  <c r="J384" i="1" a="1"/>
  <c r="J384" i="1" s="1"/>
  <c r="J385" i="1" a="1"/>
  <c r="J385" i="1" s="1"/>
  <c r="J386" i="1" a="1"/>
  <c r="J386" i="1" s="1"/>
  <c r="J387" i="1" a="1"/>
  <c r="J387" i="1" s="1"/>
  <c r="J388" i="1" a="1"/>
  <c r="J388" i="1" s="1"/>
  <c r="J389" i="1" a="1"/>
  <c r="J389" i="1" s="1"/>
  <c r="J390" i="1" a="1"/>
  <c r="J390" i="1" s="1"/>
  <c r="J391" i="1" a="1"/>
  <c r="J391" i="1" s="1"/>
  <c r="J392" i="1" a="1"/>
  <c r="J392" i="1" s="1"/>
  <c r="J393" i="1" a="1"/>
  <c r="J393" i="1" s="1"/>
  <c r="J394" i="1" a="1"/>
  <c r="J394" i="1" s="1"/>
  <c r="J395" i="1" a="1"/>
  <c r="J395" i="1" s="1"/>
  <c r="J396" i="1" a="1"/>
  <c r="J396" i="1" s="1"/>
  <c r="J397" i="1" a="1"/>
  <c r="J397" i="1" s="1"/>
  <c r="J398" i="1" a="1"/>
  <c r="J398" i="1" s="1"/>
  <c r="J399" i="1" a="1"/>
  <c r="J399" i="1" s="1"/>
  <c r="J400" i="1" a="1"/>
  <c r="J400" i="1" s="1"/>
  <c r="J401" i="1" a="1"/>
  <c r="J401" i="1" s="1"/>
  <c r="J402" i="1" a="1"/>
  <c r="J402" i="1" s="1"/>
  <c r="J403" i="1" a="1"/>
  <c r="J403" i="1" s="1"/>
  <c r="J404" i="1" a="1"/>
  <c r="J404" i="1" s="1"/>
  <c r="J405" i="1" a="1"/>
  <c r="J405" i="1" s="1"/>
  <c r="J406" i="1" a="1"/>
  <c r="J406" i="1" s="1"/>
  <c r="J407" i="1" a="1"/>
  <c r="J407" i="1" s="1"/>
  <c r="J408" i="1" a="1"/>
  <c r="J408" i="1" s="1"/>
  <c r="J409" i="1" a="1"/>
  <c r="J409" i="1" s="1"/>
  <c r="J410" i="1" a="1"/>
  <c r="J410" i="1" s="1"/>
  <c r="J411" i="1" a="1"/>
  <c r="J411" i="1" s="1"/>
  <c r="J412" i="1" a="1"/>
  <c r="J412" i="1" s="1"/>
  <c r="J413" i="1" a="1"/>
  <c r="J413" i="1" s="1"/>
  <c r="J414" i="1" a="1"/>
  <c r="J414" i="1" s="1"/>
  <c r="J415" i="1" a="1"/>
  <c r="J415" i="1" s="1"/>
  <c r="J416" i="1" a="1"/>
  <c r="J416" i="1" s="1"/>
  <c r="J417" i="1" a="1"/>
  <c r="J417" i="1" s="1"/>
  <c r="J418" i="1" a="1"/>
  <c r="J418" i="1" s="1"/>
  <c r="J419" i="1" a="1"/>
  <c r="J419" i="1" s="1"/>
  <c r="J420" i="1" a="1"/>
  <c r="J420" i="1" s="1"/>
  <c r="J421" i="1" a="1"/>
  <c r="J421" i="1" s="1"/>
  <c r="J422" i="1" a="1"/>
  <c r="J422" i="1" s="1"/>
  <c r="J423" i="1" a="1"/>
  <c r="J423" i="1" s="1"/>
  <c r="J424" i="1" a="1"/>
  <c r="J424" i="1" s="1"/>
  <c r="J425" i="1" a="1"/>
  <c r="J425" i="1" s="1"/>
  <c r="J426" i="1" a="1"/>
  <c r="J426" i="1" s="1"/>
  <c r="J427" i="1" a="1"/>
  <c r="J427" i="1" s="1"/>
  <c r="J428" i="1" a="1"/>
  <c r="J428" i="1" s="1"/>
  <c r="J429" i="1" a="1"/>
  <c r="J429" i="1" s="1"/>
  <c r="J430" i="1" a="1"/>
  <c r="J430" i="1" s="1"/>
  <c r="J431" i="1" a="1"/>
  <c r="J431" i="1" s="1"/>
  <c r="J432" i="1" a="1"/>
  <c r="J432" i="1" s="1"/>
  <c r="J433" i="1" a="1"/>
  <c r="J433" i="1" s="1"/>
  <c r="J434" i="1" a="1"/>
  <c r="J434" i="1" s="1"/>
  <c r="J435" i="1" a="1"/>
  <c r="J435" i="1" s="1"/>
  <c r="J436" i="1" a="1"/>
  <c r="J436" i="1" s="1"/>
  <c r="J437" i="1" a="1"/>
  <c r="J437" i="1" s="1"/>
  <c r="J438" i="1" a="1"/>
  <c r="J438" i="1" s="1"/>
  <c r="J439" i="1" a="1"/>
  <c r="J439" i="1" s="1"/>
  <c r="J440" i="1" a="1"/>
  <c r="J440" i="1" s="1"/>
  <c r="J441" i="1" a="1"/>
  <c r="J441" i="1" s="1"/>
  <c r="J442" i="1" a="1"/>
  <c r="J442" i="1" s="1"/>
  <c r="J443" i="1" a="1"/>
  <c r="J443" i="1" s="1"/>
  <c r="J444" i="1" a="1"/>
  <c r="J444" i="1" s="1"/>
  <c r="J445" i="1" a="1"/>
  <c r="J445" i="1" s="1"/>
  <c r="J446" i="1" a="1"/>
  <c r="J446" i="1" s="1"/>
  <c r="J447" i="1" a="1"/>
  <c r="J447" i="1" s="1"/>
  <c r="J448" i="1" a="1"/>
  <c r="J448" i="1" s="1"/>
  <c r="J449" i="1" a="1"/>
  <c r="J449" i="1" s="1"/>
  <c r="J450" i="1" a="1"/>
  <c r="J450" i="1" s="1"/>
  <c r="J451" i="1" a="1"/>
  <c r="J451" i="1" s="1"/>
  <c r="J452" i="1" a="1"/>
  <c r="J452" i="1" s="1"/>
  <c r="J453" i="1" a="1"/>
  <c r="J453" i="1" s="1"/>
  <c r="J454" i="1" a="1"/>
  <c r="J454" i="1" s="1"/>
  <c r="J455" i="1" a="1"/>
  <c r="J455" i="1" s="1"/>
  <c r="J456" i="1" a="1"/>
  <c r="J456" i="1" s="1"/>
  <c r="J457" i="1" a="1"/>
  <c r="J457" i="1" s="1"/>
  <c r="J458" i="1" a="1"/>
  <c r="J458" i="1" s="1"/>
  <c r="J459" i="1" a="1"/>
  <c r="J459" i="1" s="1"/>
  <c r="J460" i="1" a="1"/>
  <c r="J460" i="1" s="1"/>
  <c r="J461" i="1" a="1"/>
  <c r="J461" i="1" s="1"/>
  <c r="J462" i="1" a="1"/>
  <c r="J462" i="1" s="1"/>
  <c r="J463" i="1" a="1"/>
  <c r="J463" i="1" s="1"/>
  <c r="J464" i="1" a="1"/>
  <c r="J464" i="1" s="1"/>
  <c r="J465" i="1" a="1"/>
  <c r="J465" i="1" s="1"/>
  <c r="J466" i="1" a="1"/>
  <c r="J466" i="1" s="1"/>
  <c r="J467" i="1" a="1"/>
  <c r="J467" i="1" s="1"/>
  <c r="J468" i="1" a="1"/>
  <c r="J468" i="1" s="1"/>
  <c r="J469" i="1" a="1"/>
  <c r="J469" i="1" s="1"/>
  <c r="J470" i="1" a="1"/>
  <c r="J470" i="1" s="1"/>
  <c r="J471" i="1" a="1"/>
  <c r="J471" i="1" s="1"/>
  <c r="J472" i="1" a="1"/>
  <c r="J472" i="1" s="1"/>
  <c r="J473" i="1" a="1"/>
  <c r="J473" i="1" s="1"/>
  <c r="J474" i="1" a="1"/>
  <c r="J474" i="1" s="1"/>
  <c r="J475" i="1" a="1"/>
  <c r="J475" i="1" s="1"/>
  <c r="J476" i="1" a="1"/>
  <c r="J476" i="1" s="1"/>
  <c r="J477" i="1" a="1"/>
  <c r="J477" i="1" s="1"/>
  <c r="J478" i="1" a="1"/>
  <c r="J478" i="1" s="1"/>
  <c r="J479" i="1" a="1"/>
  <c r="J479" i="1" s="1"/>
  <c r="J480" i="1" a="1"/>
  <c r="J480" i="1" s="1"/>
  <c r="J481" i="1" a="1"/>
  <c r="J481" i="1" s="1"/>
  <c r="J482" i="1" a="1"/>
  <c r="J482" i="1" s="1"/>
  <c r="J483" i="1" a="1"/>
  <c r="J483" i="1" s="1"/>
  <c r="J484" i="1" a="1"/>
  <c r="J484" i="1" s="1"/>
  <c r="J485" i="1" a="1"/>
  <c r="J485" i="1" s="1"/>
  <c r="J486" i="1" a="1"/>
  <c r="J486" i="1" s="1"/>
  <c r="J487" i="1" a="1"/>
  <c r="J487" i="1" s="1"/>
  <c r="J488" i="1" a="1"/>
  <c r="J488" i="1" s="1"/>
  <c r="J489" i="1" a="1"/>
  <c r="J489" i="1" s="1"/>
  <c r="J490" i="1" a="1"/>
  <c r="J490" i="1" s="1"/>
  <c r="J491" i="1" a="1"/>
  <c r="J491" i="1" s="1"/>
  <c r="J492" i="1" a="1"/>
  <c r="J492" i="1" s="1"/>
  <c r="J493" i="1" a="1"/>
  <c r="J493" i="1" s="1"/>
  <c r="J494" i="1" a="1"/>
  <c r="J494" i="1" s="1"/>
  <c r="J495" i="1" a="1"/>
  <c r="J495" i="1" s="1"/>
  <c r="J496" i="1" a="1"/>
  <c r="J496" i="1" s="1"/>
  <c r="J497" i="1" a="1"/>
  <c r="J497" i="1" s="1"/>
  <c r="J498" i="1" a="1"/>
  <c r="J498" i="1" s="1"/>
  <c r="J499" i="1" a="1"/>
  <c r="J499" i="1" s="1"/>
  <c r="J500" i="1" a="1"/>
  <c r="J500" i="1" s="1"/>
  <c r="J501" i="1" a="1"/>
  <c r="J501" i="1" s="1"/>
  <c r="J502" i="1" a="1"/>
  <c r="J502" i="1" s="1"/>
  <c r="J503" i="1" a="1"/>
  <c r="J503" i="1" s="1"/>
  <c r="J504" i="1" a="1"/>
  <c r="J504" i="1" s="1"/>
  <c r="J505" i="1" a="1"/>
  <c r="J505" i="1" s="1"/>
  <c r="J506" i="1" a="1"/>
  <c r="J506" i="1" s="1"/>
  <c r="J507" i="1" a="1"/>
  <c r="J507" i="1" s="1"/>
  <c r="J508" i="1" a="1"/>
  <c r="J508" i="1" s="1"/>
  <c r="J509" i="1" a="1"/>
  <c r="J509" i="1" s="1"/>
  <c r="J510" i="1" a="1"/>
  <c r="J510" i="1" s="1"/>
  <c r="J511" i="1" a="1"/>
  <c r="J511" i="1" s="1"/>
  <c r="J512" i="1" a="1"/>
  <c r="J512" i="1" s="1"/>
  <c r="J513" i="1" a="1"/>
  <c r="J513" i="1" s="1"/>
  <c r="J514" i="1" a="1"/>
  <c r="J514" i="1" s="1"/>
  <c r="J515" i="1" a="1"/>
  <c r="J515" i="1" s="1"/>
  <c r="J516" i="1" a="1"/>
  <c r="J516" i="1" s="1"/>
  <c r="J517" i="1" a="1"/>
  <c r="J517" i="1" s="1"/>
  <c r="J518" i="1" a="1"/>
  <c r="J518" i="1" s="1"/>
  <c r="J519" i="1" a="1"/>
  <c r="J519" i="1" s="1"/>
  <c r="J520" i="1" a="1"/>
  <c r="J520" i="1" s="1"/>
  <c r="J521" i="1" a="1"/>
  <c r="J521" i="1" s="1"/>
  <c r="J522" i="1" a="1"/>
  <c r="J522" i="1" s="1"/>
  <c r="J523" i="1" a="1"/>
  <c r="J523" i="1" s="1"/>
  <c r="J524" i="1" a="1"/>
  <c r="J524" i="1" s="1"/>
  <c r="J525" i="1" a="1"/>
  <c r="J525" i="1" s="1"/>
  <c r="J526" i="1" a="1"/>
  <c r="J526" i="1" s="1"/>
  <c r="J527" i="1" a="1"/>
  <c r="J527" i="1" s="1"/>
  <c r="J528" i="1" a="1"/>
  <c r="J528" i="1" s="1"/>
  <c r="J529" i="1" a="1"/>
  <c r="J529" i="1" s="1"/>
  <c r="J530" i="1" a="1"/>
  <c r="J530" i="1" s="1"/>
  <c r="J531" i="1" a="1"/>
  <c r="J531" i="1" s="1"/>
  <c r="J532" i="1" a="1"/>
  <c r="J532" i="1" s="1"/>
  <c r="J533" i="1" a="1"/>
  <c r="J533" i="1" s="1"/>
  <c r="J534" i="1" a="1"/>
  <c r="J534" i="1" s="1"/>
  <c r="J535" i="1" a="1"/>
  <c r="J535" i="1" s="1"/>
  <c r="J536" i="1" a="1"/>
  <c r="J536" i="1" s="1"/>
  <c r="J537" i="1" a="1"/>
  <c r="J537" i="1" s="1"/>
  <c r="J538" i="1" a="1"/>
  <c r="J538" i="1" s="1"/>
  <c r="J539" i="1" a="1"/>
  <c r="J539" i="1" s="1"/>
  <c r="J540" i="1" a="1"/>
  <c r="J540" i="1" s="1"/>
  <c r="J541" i="1" a="1"/>
  <c r="J541" i="1" s="1"/>
  <c r="J542" i="1" a="1"/>
  <c r="J542" i="1" s="1"/>
  <c r="J543" i="1" a="1"/>
  <c r="J543" i="1" s="1"/>
  <c r="J544" i="1" a="1"/>
  <c r="J544" i="1" s="1"/>
  <c r="J545" i="1" a="1"/>
  <c r="J545" i="1" s="1"/>
  <c r="J546" i="1" a="1"/>
  <c r="J546" i="1" s="1"/>
  <c r="J547" i="1" a="1"/>
  <c r="J547" i="1" s="1"/>
  <c r="J548" i="1" a="1"/>
  <c r="J548" i="1" s="1"/>
  <c r="J549" i="1" a="1"/>
  <c r="J549" i="1" s="1"/>
  <c r="J550" i="1" a="1"/>
  <c r="J550" i="1" s="1"/>
  <c r="J551" i="1" a="1"/>
  <c r="J551" i="1" s="1"/>
  <c r="J552" i="1" a="1"/>
  <c r="J552" i="1" s="1"/>
  <c r="J553" i="1" a="1"/>
  <c r="J553" i="1" s="1"/>
  <c r="J554" i="1" a="1"/>
  <c r="J554" i="1" s="1"/>
  <c r="J555" i="1" a="1"/>
  <c r="J555" i="1" s="1"/>
  <c r="J556" i="1" a="1"/>
  <c r="J556" i="1" s="1"/>
  <c r="J557" i="1" a="1"/>
  <c r="J557" i="1" s="1"/>
  <c r="J558" i="1" a="1"/>
  <c r="J558" i="1" s="1"/>
  <c r="J559" i="1" a="1"/>
  <c r="J559" i="1" s="1"/>
  <c r="J560" i="1" a="1"/>
  <c r="J560" i="1" s="1"/>
  <c r="J561" i="1" a="1"/>
  <c r="J561" i="1" s="1"/>
  <c r="J562" i="1" a="1"/>
  <c r="J562" i="1" s="1"/>
  <c r="J563" i="1" a="1"/>
  <c r="J563" i="1" s="1"/>
  <c r="J564" i="1" a="1"/>
  <c r="J564" i="1" s="1"/>
  <c r="J565" i="1" a="1"/>
  <c r="J565" i="1" s="1"/>
  <c r="J566" i="1" a="1"/>
  <c r="J566" i="1" s="1"/>
  <c r="J567" i="1" a="1"/>
  <c r="J567" i="1" s="1"/>
  <c r="J568" i="1" a="1"/>
  <c r="J568" i="1" s="1"/>
  <c r="J569" i="1" a="1"/>
  <c r="J569" i="1" s="1"/>
  <c r="J570" i="1" a="1"/>
  <c r="J570" i="1" s="1"/>
  <c r="J571" i="1" a="1"/>
  <c r="J571" i="1" s="1"/>
  <c r="J572" i="1" a="1"/>
  <c r="J572" i="1" s="1"/>
  <c r="J573" i="1" a="1"/>
  <c r="J573" i="1" s="1"/>
  <c r="J574" i="1" a="1"/>
  <c r="J574" i="1" s="1"/>
  <c r="J575" i="1" a="1"/>
  <c r="J575" i="1" s="1"/>
  <c r="J576" i="1" a="1"/>
  <c r="J576" i="1" s="1"/>
  <c r="J577" i="1" a="1"/>
  <c r="J577" i="1" s="1"/>
  <c r="J578" i="1" a="1"/>
  <c r="J578" i="1" s="1"/>
  <c r="J579" i="1" a="1"/>
  <c r="J579" i="1" s="1"/>
  <c r="J580" i="1" a="1"/>
  <c r="J580" i="1" s="1"/>
  <c r="J581" i="1" a="1"/>
  <c r="J581" i="1" s="1"/>
  <c r="J582" i="1" a="1"/>
  <c r="J582" i="1" s="1"/>
  <c r="J583" i="1" a="1"/>
  <c r="J583" i="1" s="1"/>
  <c r="J584" i="1" a="1"/>
  <c r="J584" i="1" s="1"/>
  <c r="J585" i="1" a="1"/>
  <c r="J585" i="1" s="1"/>
  <c r="J586" i="1" a="1"/>
  <c r="J586" i="1" s="1"/>
  <c r="J587" i="1" a="1"/>
  <c r="J587" i="1" s="1"/>
  <c r="J588" i="1" a="1"/>
  <c r="J588" i="1" s="1"/>
  <c r="J589" i="1" a="1"/>
  <c r="J589" i="1" s="1"/>
  <c r="J590" i="1" a="1"/>
  <c r="J590" i="1" s="1"/>
  <c r="J591" i="1" a="1"/>
  <c r="J591" i="1" s="1"/>
  <c r="J592" i="1" a="1"/>
  <c r="J592" i="1" s="1"/>
  <c r="J593" i="1" a="1"/>
  <c r="J593" i="1" s="1"/>
  <c r="J594" i="1" a="1"/>
  <c r="J594" i="1" s="1"/>
  <c r="J595" i="1" a="1"/>
  <c r="J595" i="1" s="1"/>
  <c r="J596" i="1" a="1"/>
  <c r="J596" i="1" s="1"/>
  <c r="J597" i="1" a="1"/>
  <c r="J597" i="1" s="1"/>
  <c r="J598" i="1" a="1"/>
  <c r="J598" i="1" s="1"/>
  <c r="J599" i="1" a="1"/>
  <c r="J599" i="1" s="1"/>
  <c r="J600" i="1" a="1"/>
  <c r="J600" i="1" s="1"/>
  <c r="J601" i="1" a="1"/>
  <c r="J601" i="1" s="1"/>
  <c r="E25" i="3" l="1"/>
  <c r="E1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<sst xmlns="http://schemas.openxmlformats.org/spreadsheetml/2006/main" count="4326" uniqueCount="710">
  <si>
    <t>Patient_ID</t>
  </si>
  <si>
    <t>Age</t>
  </si>
  <si>
    <t>Gender</t>
  </si>
  <si>
    <t>Chest_Pain_Type</t>
  </si>
  <si>
    <t>Resting_BP</t>
  </si>
  <si>
    <t>Cholesterol</t>
  </si>
  <si>
    <t>Fasting_Blood_Sugar</t>
  </si>
  <si>
    <t>Resting_ECG</t>
  </si>
  <si>
    <t>Max_Heart_Rate</t>
  </si>
  <si>
    <t>Exercise_Induced_Angina</t>
  </si>
  <si>
    <t>Heart_Disease</t>
  </si>
  <si>
    <t>P1000</t>
  </si>
  <si>
    <t>Female</t>
  </si>
  <si>
    <t>Non-anginal</t>
  </si>
  <si>
    <t>No</t>
  </si>
  <si>
    <t>Normal</t>
  </si>
  <si>
    <t>Yes</t>
  </si>
  <si>
    <t>P1001</t>
  </si>
  <si>
    <t>Male</t>
  </si>
  <si>
    <t>Typical Angina</t>
  </si>
  <si>
    <t>ST-T Abnormality</t>
  </si>
  <si>
    <t>P1002</t>
  </si>
  <si>
    <t>Atypical Angina</t>
  </si>
  <si>
    <t>P1003</t>
  </si>
  <si>
    <t>P1004</t>
  </si>
  <si>
    <t>Asymptomatic</t>
  </si>
  <si>
    <t>P1005</t>
  </si>
  <si>
    <t>LV Hypertrophy</t>
  </si>
  <si>
    <t>P1006</t>
  </si>
  <si>
    <t>P1007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</si>
  <si>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</si>
  <si>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</si>
  <si>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</si>
  <si>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</si>
  <si>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</si>
  <si>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</si>
  <si>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</si>
  <si>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</si>
  <si>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</si>
  <si>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</si>
  <si>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</si>
  <si>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</si>
  <si>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</si>
  <si>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</si>
  <si>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</si>
  <si>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</si>
  <si>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</si>
  <si>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</si>
  <si>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</si>
  <si>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</si>
  <si>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</si>
  <si>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</si>
  <si>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P1030</t>
  </si>
  <si>
    <t>P1031</t>
  </si>
  <si>
    <t>P1032</t>
  </si>
  <si>
    <t>P1033</t>
  </si>
  <si>
    <t>P1034</t>
  </si>
  <si>
    <t>P1035</t>
  </si>
  <si>
    <t>P1036</t>
  </si>
  <si>
    <t>P1037</t>
  </si>
  <si>
    <t>P1038</t>
  </si>
  <si>
    <t>P1039</t>
  </si>
  <si>
    <t>P1040</t>
  </si>
  <si>
    <t>P1041</t>
  </si>
  <si>
    <t>P1042</t>
  </si>
  <si>
    <t>P1043</t>
  </si>
  <si>
    <t>P1044</t>
  </si>
  <si>
    <t>P1045</t>
  </si>
  <si>
    <t>P1046</t>
  </si>
  <si>
    <t>P1047</t>
  </si>
  <si>
    <t>P1048</t>
  </si>
  <si>
    <t>P1049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</si>
  <si>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</si>
  <si>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</si>
  <si>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</si>
  <si>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</si>
  <si>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</si>
  <si>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</si>
  <si>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</si>
  <si>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</si>
  <si>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</si>
  <si>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</si>
  <si>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P1060</t>
  </si>
  <si>
    <t>P1061</t>
  </si>
  <si>
    <t>P1062</t>
  </si>
  <si>
    <t>P1063</t>
  </si>
  <si>
    <t>P1064</t>
  </si>
  <si>
    <t>P1065</t>
  </si>
  <si>
    <t>P1066</t>
  </si>
  <si>
    <t>P1067</t>
  </si>
  <si>
    <t>P1068</t>
  </si>
  <si>
    <t>P1069</t>
  </si>
  <si>
    <t>P1070</t>
  </si>
  <si>
    <t>P1071</t>
  </si>
  <si>
    <t>P1072</t>
  </si>
  <si>
    <t>P1073</t>
  </si>
  <si>
    <t>P1074</t>
  </si>
  <si>
    <t>P1075</t>
  </si>
  <si>
    <t>P1076</t>
  </si>
  <si>
    <t>P1077</t>
  </si>
  <si>
    <t>P1078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</si>
  <si>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</si>
  <si>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</si>
  <si>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</si>
  <si>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</si>
  <si>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</si>
  <si>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</si>
  <si>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</si>
  <si>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</si>
  <si>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</si>
  <si>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</si>
  <si>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</si>
  <si>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</si>
  <si>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P1091</t>
  </si>
  <si>
    <t>P1092</t>
  </si>
  <si>
    <t>P1093</t>
  </si>
  <si>
    <t>P1094</t>
  </si>
  <si>
    <t>P1095</t>
  </si>
  <si>
    <t>P1096</t>
  </si>
  <si>
    <t>P1097</t>
  </si>
  <si>
    <t>P1098</t>
  </si>
  <si>
    <t>P1099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</si>
  <si>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</si>
  <si>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</si>
  <si>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</si>
  <si>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</si>
  <si>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</si>
  <si>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</si>
  <si>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</si>
  <si>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</si>
  <si>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</si>
  <si>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</si>
  <si>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</si>
  <si>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</si>
  <si>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</si>
  <si>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</si>
  <si>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P1114</t>
  </si>
  <si>
    <t>P1115</t>
  </si>
  <si>
    <t>P1116</t>
  </si>
  <si>
    <t>P1117</t>
  </si>
  <si>
    <t>P1118</t>
  </si>
  <si>
    <t>P1119</t>
  </si>
  <si>
    <t>P1120</t>
  </si>
  <si>
    <t>P1121</t>
  </si>
  <si>
    <t>P1122</t>
  </si>
  <si>
    <t>P1123</t>
  </si>
  <si>
    <t>P1124</t>
  </si>
  <si>
    <t>P1125</t>
  </si>
  <si>
    <t>P1126</t>
  </si>
  <si>
    <t>P1127</t>
  </si>
  <si>
    <t>P1128</t>
  </si>
  <si>
    <t>P1129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</si>
  <si>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</si>
  <si>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</si>
  <si>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</si>
  <si>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</si>
  <si>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</si>
  <si>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</si>
  <si>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</si>
  <si>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</si>
  <si>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P1138</t>
  </si>
  <si>
    <t>P1139</t>
  </si>
  <si>
    <t>P1140</t>
  </si>
  <si>
    <t>P1141</t>
  </si>
  <si>
    <t>P1142</t>
  </si>
  <si>
    <t>P1143</t>
  </si>
  <si>
    <t>P1144</t>
  </si>
  <si>
    <t>P1145</t>
  </si>
  <si>
    <t>P1146</t>
  </si>
  <si>
    <t>P1147</t>
  </si>
  <si>
    <t>P1148</t>
  </si>
  <si>
    <t>P1149</t>
  </si>
  <si>
    <t>P1150</t>
  </si>
  <si>
    <t>P1151</t>
  </si>
  <si>
    <t>P1152</t>
  </si>
  <si>
    <t>P1153</t>
  </si>
  <si>
    <t>P1154</t>
  </si>
  <si>
    <t>P1155</t>
  </si>
  <si>
    <t>P1156</t>
  </si>
  <si>
    <t>P1157</t>
  </si>
  <si>
    <t>P1158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</si>
  <si>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</si>
  <si>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</si>
  <si>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</si>
  <si>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</si>
  <si>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</si>
  <si>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</si>
  <si>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</si>
  <si>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</si>
  <si>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</si>
  <si>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</si>
  <si>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</si>
  <si>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</si>
  <si>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</si>
  <si>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</si>
  <si>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</si>
  <si>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</si>
  <si>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</si>
  <si>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</si>
  <si>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</si>
  <si>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P1178</t>
  </si>
  <si>
    <t>P1179</t>
  </si>
  <si>
    <t>P1180</t>
  </si>
  <si>
    <t>P1181</t>
  </si>
  <si>
    <t>P1182</t>
  </si>
  <si>
    <t>P1183</t>
  </si>
  <si>
    <t>P1184</t>
  </si>
  <si>
    <t>P1185</t>
  </si>
  <si>
    <t>P1186</t>
  </si>
  <si>
    <t>P1187</t>
  </si>
  <si>
    <t>P1188</t>
  </si>
  <si>
    <t>P1189</t>
  </si>
  <si>
    <t>P1190</t>
  </si>
  <si>
    <t>P1191</t>
  </si>
  <si>
    <t>P1192</t>
  </si>
  <si>
    <t>P1193</t>
  </si>
  <si>
    <t>P1194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</si>
  <si>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</si>
  <si>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</si>
  <si>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</si>
  <si>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</si>
  <si>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</si>
  <si>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</si>
  <si>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</si>
  <si>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</si>
  <si>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P1203</t>
  </si>
  <si>
    <t>P1204</t>
  </si>
  <si>
    <t>P1205</t>
  </si>
  <si>
    <t>P1206</t>
  </si>
  <si>
    <t>P1207</t>
  </si>
  <si>
    <t>P1208</t>
  </si>
  <si>
    <t>P1209</t>
  </si>
  <si>
    <t>P1210</t>
  </si>
  <si>
    <t>P1211</t>
  </si>
  <si>
    <t>P1212</t>
  </si>
  <si>
    <t>P1213</t>
  </si>
  <si>
    <t>P1214</t>
  </si>
  <si>
    <t>P1215</t>
  </si>
  <si>
    <t>P1216</t>
  </si>
  <si>
    <t>P1217</t>
  </si>
  <si>
    <t>P1218</t>
  </si>
  <si>
    <t>P1219</t>
  </si>
  <si>
    <t>P1220</t>
  </si>
  <si>
    <t>P1221</t>
  </si>
  <si>
    <t>P1222</t>
  </si>
  <si>
    <t>P1223</t>
  </si>
  <si>
    <t>P1224</t>
  </si>
  <si>
    <t>P1225</t>
  </si>
  <si>
    <t>P1226</t>
  </si>
  <si>
    <t>P1227</t>
  </si>
  <si>
    <t>P1228</t>
  </si>
  <si>
    <t>P1229</t>
  </si>
  <si>
    <t>P1230</t>
  </si>
  <si>
    <t>P1231</t>
  </si>
  <si>
    <t>P1232</t>
  </si>
  <si>
    <t>P1233</t>
  </si>
  <si>
    <t>P1234</t>
  </si>
  <si>
    <t>P1235</t>
  </si>
  <si>
    <t>P1236</t>
  </si>
  <si>
    <t>P1237</t>
  </si>
  <si>
    <t>P1238</t>
  </si>
  <si>
    <t>P1239</t>
  </si>
  <si>
    <t>P1240</t>
  </si>
  <si>
    <t>P1241</t>
  </si>
  <si>
    <t>P1242</t>
  </si>
  <si>
    <t>P1243</t>
  </si>
  <si>
    <t>P1244</t>
  </si>
  <si>
    <t>P1245</t>
  </si>
  <si>
    <t>P1246</t>
  </si>
  <si>
    <t>P1247</t>
  </si>
  <si>
    <t>P1248</t>
  </si>
  <si>
    <t>P1249</t>
  </si>
  <si>
    <t>P1250</t>
  </si>
  <si>
    <t>P1251</t>
  </si>
  <si>
    <t>P1252</t>
  </si>
  <si>
    <t>P1253</t>
  </si>
  <si>
    <t>P1254</t>
  </si>
  <si>
    <t>P1255</t>
  </si>
  <si>
    <t>P1256</t>
  </si>
  <si>
    <t>P1257</t>
  </si>
  <si>
    <t>P1258</t>
  </si>
  <si>
    <t>P1259</t>
  </si>
  <si>
    <t>P1260</t>
  </si>
  <si>
    <t>P1261</t>
  </si>
  <si>
    <t>P1262</t>
  </si>
  <si>
    <t>P1263</t>
  </si>
  <si>
    <t>P1264</t>
  </si>
  <si>
    <t>P1265</t>
  </si>
  <si>
    <t>P1266</t>
  </si>
  <si>
    <t>P1267</t>
  </si>
  <si>
    <t>P1268</t>
  </si>
  <si>
    <t>P1269</t>
  </si>
  <si>
    <t>P1270</t>
  </si>
  <si>
    <t>P1271</t>
  </si>
  <si>
    <t>P1272</t>
  </si>
  <si>
    <t>P1273</t>
  </si>
  <si>
    <t>P1274</t>
  </si>
  <si>
    <t>P1275</t>
  </si>
  <si>
    <t>P1276</t>
  </si>
  <si>
    <t>P1277</t>
  </si>
  <si>
    <t>P1278</t>
  </si>
  <si>
    <t>P1279</t>
  </si>
  <si>
    <t>P1280</t>
  </si>
  <si>
    <t>P1281</t>
  </si>
  <si>
    <t>P1282</t>
  </si>
  <si>
    <t>P1283</t>
  </si>
  <si>
    <t>P1284</t>
  </si>
  <si>
    <t>P1285</t>
  </si>
  <si>
    <t>P1286</t>
  </si>
  <si>
    <t>P1287</t>
  </si>
  <si>
    <t>P1288</t>
  </si>
  <si>
    <t>P1289</t>
  </si>
  <si>
    <t>P1290</t>
  </si>
  <si>
    <t>P1291</t>
  </si>
  <si>
    <t>P1292</t>
  </si>
  <si>
    <t>P1293</t>
  </si>
  <si>
    <t>P1294</t>
  </si>
  <si>
    <t>P1295</t>
  </si>
  <si>
    <t>P1296</t>
  </si>
  <si>
    <t>P1297</t>
  </si>
  <si>
    <t>P1298</t>
  </si>
  <si>
    <t>P1299</t>
  </si>
  <si>
    <t>P1300</t>
  </si>
  <si>
    <t>P1301</t>
  </si>
  <si>
    <t>P1302</t>
  </si>
  <si>
    <t>P1303</t>
  </si>
  <si>
    <t>P1304</t>
  </si>
  <si>
    <t>P1305</t>
  </si>
  <si>
    <t>P1306</t>
  </si>
  <si>
    <t>P1307</t>
  </si>
  <si>
    <t>P1308</t>
  </si>
  <si>
    <t>P1309</t>
  </si>
  <si>
    <t>P1310</t>
  </si>
  <si>
    <t>P1311</t>
  </si>
  <si>
    <t>P1312</t>
  </si>
  <si>
    <t>P1313</t>
  </si>
  <si>
    <t>P1314</t>
  </si>
  <si>
    <t>P1315</t>
  </si>
  <si>
    <t>P1316</t>
  </si>
  <si>
    <t>P1317</t>
  </si>
  <si>
    <t>P1318</t>
  </si>
  <si>
    <t>P1319</t>
  </si>
  <si>
    <t>P1320</t>
  </si>
  <si>
    <t>P1321</t>
  </si>
  <si>
    <t>P1322</t>
  </si>
  <si>
    <t>P1323</t>
  </si>
  <si>
    <t>P1324</t>
  </si>
  <si>
    <t>P1325</t>
  </si>
  <si>
    <t>P1326</t>
  </si>
  <si>
    <t>P1327</t>
  </si>
  <si>
    <t>P1328</t>
  </si>
  <si>
    <t>P1329</t>
  </si>
  <si>
    <t>P1330</t>
  </si>
  <si>
    <t>P1331</t>
  </si>
  <si>
    <t>P1332</t>
  </si>
  <si>
    <t>P1333</t>
  </si>
  <si>
    <t>P1334</t>
  </si>
  <si>
    <t>P1335</t>
  </si>
  <si>
    <t>P1336</t>
  </si>
  <si>
    <t>P1337</t>
  </si>
  <si>
    <t>P1338</t>
  </si>
  <si>
    <t>P1339</t>
  </si>
  <si>
    <t>P1340</t>
  </si>
  <si>
    <t>P1341</t>
  </si>
  <si>
    <t>P1342</t>
  </si>
  <si>
    <t>P1343</t>
  </si>
  <si>
    <t>P1344</t>
  </si>
  <si>
    <t>P1345</t>
  </si>
  <si>
    <t>P1346</t>
  </si>
  <si>
    <t>P1347</t>
  </si>
  <si>
    <t>P1348</t>
  </si>
  <si>
    <t>P1349</t>
  </si>
  <si>
    <t>P1350</t>
  </si>
  <si>
    <t>P1351</t>
  </si>
  <si>
    <t>P1352</t>
  </si>
  <si>
    <t>P1353</t>
  </si>
  <si>
    <t>P1354</t>
  </si>
  <si>
    <t>P1355</t>
  </si>
  <si>
    <t>P1356</t>
  </si>
  <si>
    <t>P1357</t>
  </si>
  <si>
    <t>P1358</t>
  </si>
  <si>
    <t>P1359</t>
  </si>
  <si>
    <t>P1360</t>
  </si>
  <si>
    <t>P1361</t>
  </si>
  <si>
    <t>P1362</t>
  </si>
  <si>
    <t>P1363</t>
  </si>
  <si>
    <t>P1364</t>
  </si>
  <si>
    <t>P1365</t>
  </si>
  <si>
    <t>P1366</t>
  </si>
  <si>
    <t>P1367</t>
  </si>
  <si>
    <t>P1368</t>
  </si>
  <si>
    <t>P1369</t>
  </si>
  <si>
    <t>P1370</t>
  </si>
  <si>
    <t>P1371</t>
  </si>
  <si>
    <t>P1372</t>
  </si>
  <si>
    <t>P1373</t>
  </si>
  <si>
    <t>P1374</t>
  </si>
  <si>
    <t>P1375</t>
  </si>
  <si>
    <t>P1376</t>
  </si>
  <si>
    <t>P1377</t>
  </si>
  <si>
    <t>P1378</t>
  </si>
  <si>
    <t>P1379</t>
  </si>
  <si>
    <t>P1380</t>
  </si>
  <si>
    <t>P1381</t>
  </si>
  <si>
    <t>P1382</t>
  </si>
  <si>
    <t>P1383</t>
  </si>
  <si>
    <t>P1384</t>
  </si>
  <si>
    <t>P1385</t>
  </si>
  <si>
    <t>P1386</t>
  </si>
  <si>
    <t>P1387</t>
  </si>
  <si>
    <t>P1388</t>
  </si>
  <si>
    <t>P1389</t>
  </si>
  <si>
    <t>P1390</t>
  </si>
  <si>
    <t>P1391</t>
  </si>
  <si>
    <t>P1392</t>
  </si>
  <si>
    <t>P1393</t>
  </si>
  <si>
    <t>P1394</t>
  </si>
  <si>
    <t>P1395</t>
  </si>
  <si>
    <t>P1396</t>
  </si>
  <si>
    <t>P1397</t>
  </si>
  <si>
    <t>P1398</t>
  </si>
  <si>
    <t>P1399</t>
  </si>
  <si>
    <t>P1400</t>
  </si>
  <si>
    <t>P1401</t>
  </si>
  <si>
    <t>P1402</t>
  </si>
  <si>
    <t>P1403</t>
  </si>
  <si>
    <t>P1404</t>
  </si>
  <si>
    <t>P1405</t>
  </si>
  <si>
    <t>P1406</t>
  </si>
  <si>
    <t>P1407</t>
  </si>
  <si>
    <t>P1408</t>
  </si>
  <si>
    <t>P1409</t>
  </si>
  <si>
    <t>P1410</t>
  </si>
  <si>
    <t>P1411</t>
  </si>
  <si>
    <t>P1412</t>
  </si>
  <si>
    <t>P1413</t>
  </si>
  <si>
    <t>P1414</t>
  </si>
  <si>
    <t>P1415</t>
  </si>
  <si>
    <t>P1416</t>
  </si>
  <si>
    <t>P1417</t>
  </si>
  <si>
    <t>P1418</t>
  </si>
  <si>
    <t>P1419</t>
  </si>
  <si>
    <t>P1420</t>
  </si>
  <si>
    <t>P1421</t>
  </si>
  <si>
    <t>P1422</t>
  </si>
  <si>
    <t>P1423</t>
  </si>
  <si>
    <t>P1424</t>
  </si>
  <si>
    <t>P1425</t>
  </si>
  <si>
    <t>P1426</t>
  </si>
  <si>
    <t>P1427</t>
  </si>
  <si>
    <t>P1428</t>
  </si>
  <si>
    <t>P1429</t>
  </si>
  <si>
    <t>P1430</t>
  </si>
  <si>
    <t>P1431</t>
  </si>
  <si>
    <t>P1432</t>
  </si>
  <si>
    <t>P1433</t>
  </si>
  <si>
    <t>P1434</t>
  </si>
  <si>
    <t>P1435</t>
  </si>
  <si>
    <t>P1436</t>
  </si>
  <si>
    <t>P1437</t>
  </si>
  <si>
    <t>P1438</t>
  </si>
  <si>
    <t>P1439</t>
  </si>
  <si>
    <t>P1440</t>
  </si>
  <si>
    <t>P1441</t>
  </si>
  <si>
    <t>P1442</t>
  </si>
  <si>
    <t>P1443</t>
  </si>
  <si>
    <t>P1444</t>
  </si>
  <si>
    <t>P1445</t>
  </si>
  <si>
    <t>P1446</t>
  </si>
  <si>
    <t>P1447</t>
  </si>
  <si>
    <t>P1448</t>
  </si>
  <si>
    <t>P1449</t>
  </si>
  <si>
    <t>P1450</t>
  </si>
  <si>
    <t>P1451</t>
  </si>
  <si>
    <t>P1452</t>
  </si>
  <si>
    <t>P1453</t>
  </si>
  <si>
    <t>P1454</t>
  </si>
  <si>
    <t>P1455</t>
  </si>
  <si>
    <t>P1456</t>
  </si>
  <si>
    <t>P1457</t>
  </si>
  <si>
    <t>P1458</t>
  </si>
  <si>
    <t>P1459</t>
  </si>
  <si>
    <t>P1460</t>
  </si>
  <si>
    <t>P1461</t>
  </si>
  <si>
    <t>P1462</t>
  </si>
  <si>
    <t>P1463</t>
  </si>
  <si>
    <t>P1464</t>
  </si>
  <si>
    <t>P1465</t>
  </si>
  <si>
    <t>P1466</t>
  </si>
  <si>
    <t>P1467</t>
  </si>
  <si>
    <t>P1468</t>
  </si>
  <si>
    <t>P1469</t>
  </si>
  <si>
    <t>P1470</t>
  </si>
  <si>
    <t>P1471</t>
  </si>
  <si>
    <t>P1472</t>
  </si>
  <si>
    <t>P1473</t>
  </si>
  <si>
    <t>P1474</t>
  </si>
  <si>
    <t>P1475</t>
  </si>
  <si>
    <t>P1476</t>
  </si>
  <si>
    <t>P1477</t>
  </si>
  <si>
    <t>P1478</t>
  </si>
  <si>
    <t>P1479</t>
  </si>
  <si>
    <t>P1480</t>
  </si>
  <si>
    <t>P1481</t>
  </si>
  <si>
    <t>P1482</t>
  </si>
  <si>
    <t>P1483</t>
  </si>
  <si>
    <t>P1484</t>
  </si>
  <si>
    <t>P1485</t>
  </si>
  <si>
    <t>P1486</t>
  </si>
  <si>
    <t>P1487</t>
  </si>
  <si>
    <t>P1488</t>
  </si>
  <si>
    <t>P1489</t>
  </si>
  <si>
    <t>P1490</t>
  </si>
  <si>
    <t>P1491</t>
  </si>
  <si>
    <t>P1492</t>
  </si>
  <si>
    <t>P1493</t>
  </si>
  <si>
    <t>P1494</t>
  </si>
  <si>
    <t>P1495</t>
  </si>
  <si>
    <t>P1496</t>
  </si>
  <si>
    <t>P1497</t>
  </si>
  <si>
    <t>P1498</t>
  </si>
  <si>
    <t>P1499</t>
  </si>
  <si>
    <t>P1500</t>
  </si>
  <si>
    <t>P1501</t>
  </si>
  <si>
    <t>P1502</t>
  </si>
  <si>
    <t>P1503</t>
  </si>
  <si>
    <t>P1504</t>
  </si>
  <si>
    <t>P1505</t>
  </si>
  <si>
    <t>P1506</t>
  </si>
  <si>
    <t>P1507</t>
  </si>
  <si>
    <t>P1508</t>
  </si>
  <si>
    <t>P1509</t>
  </si>
  <si>
    <t>P1510</t>
  </si>
  <si>
    <t>P1511</t>
  </si>
  <si>
    <t>P1512</t>
  </si>
  <si>
    <t>P1513</t>
  </si>
  <si>
    <t>P1514</t>
  </si>
  <si>
    <t>P1515</t>
  </si>
  <si>
    <t>P1516</t>
  </si>
  <si>
    <t>P1517</t>
  </si>
  <si>
    <t>P1518</t>
  </si>
  <si>
    <t>P1519</t>
  </si>
  <si>
    <t>P1520</t>
  </si>
  <si>
    <t>P1521</t>
  </si>
  <si>
    <t>P1522</t>
  </si>
  <si>
    <t>P1523</t>
  </si>
  <si>
    <t>P1524</t>
  </si>
  <si>
    <t>P1525</t>
  </si>
  <si>
    <t>P1526</t>
  </si>
  <si>
    <t>P1527</t>
  </si>
  <si>
    <t>P1528</t>
  </si>
  <si>
    <t>P1529</t>
  </si>
  <si>
    <t>P1530</t>
  </si>
  <si>
    <t>P1531</t>
  </si>
  <si>
    <t>P1532</t>
  </si>
  <si>
    <t>P1533</t>
  </si>
  <si>
    <t>P1534</t>
  </si>
  <si>
    <t>P1535</t>
  </si>
  <si>
    <t>P1536</t>
  </si>
  <si>
    <t>P1537</t>
  </si>
  <si>
    <t>P1538</t>
  </si>
  <si>
    <t>P1539</t>
  </si>
  <si>
    <t>P1540</t>
  </si>
  <si>
    <t>P1541</t>
  </si>
  <si>
    <t>P1542</t>
  </si>
  <si>
    <t>P1543</t>
  </si>
  <si>
    <t>P1544</t>
  </si>
  <si>
    <t>P1545</t>
  </si>
  <si>
    <t>P1546</t>
  </si>
  <si>
    <t>P1547</t>
  </si>
  <si>
    <t>P1548</t>
  </si>
  <si>
    <t>P1549</t>
  </si>
  <si>
    <t>P1550</t>
  </si>
  <si>
    <t>P1551</t>
  </si>
  <si>
    <t>P1552</t>
  </si>
  <si>
    <t>P1553</t>
  </si>
  <si>
    <t>P1554</t>
  </si>
  <si>
    <t>P1555</t>
  </si>
  <si>
    <t>P1556</t>
  </si>
  <si>
    <t>P1557</t>
  </si>
  <si>
    <t>P1558</t>
  </si>
  <si>
    <t>P1559</t>
  </si>
  <si>
    <t>P1560</t>
  </si>
  <si>
    <t>P1561</t>
  </si>
  <si>
    <t>P1562</t>
  </si>
  <si>
    <t>P1563</t>
  </si>
  <si>
    <t>P1564</t>
  </si>
  <si>
    <t>P1565</t>
  </si>
  <si>
    <t>P1566</t>
  </si>
  <si>
    <t>P1567</t>
  </si>
  <si>
    <t>P1568</t>
  </si>
  <si>
    <t>P1569</t>
  </si>
  <si>
    <t>P1570</t>
  </si>
  <si>
    <t>P1571</t>
  </si>
  <si>
    <t>P1572</t>
  </si>
  <si>
    <t>P1573</t>
  </si>
  <si>
    <t>P1574</t>
  </si>
  <si>
    <t>P1575</t>
  </si>
  <si>
    <t>P1576</t>
  </si>
  <si>
    <t>P1577</t>
  </si>
  <si>
    <t>P1578</t>
  </si>
  <si>
    <t>P1579</t>
  </si>
  <si>
    <t>P1580</t>
  </si>
  <si>
    <t>P1581</t>
  </si>
  <si>
    <t>P1582</t>
  </si>
  <si>
    <t>P1583</t>
  </si>
  <si>
    <t>P1584</t>
  </si>
  <si>
    <t>P1585</t>
  </si>
  <si>
    <t>P1586</t>
  </si>
  <si>
    <t>P1587</t>
  </si>
  <si>
    <t>P1588</t>
  </si>
  <si>
    <t>P1589</t>
  </si>
  <si>
    <t>P1590</t>
  </si>
  <si>
    <t>P1591</t>
  </si>
  <si>
    <t>P1592</t>
  </si>
  <si>
    <t>P1593</t>
  </si>
  <si>
    <t>P1594</t>
  </si>
  <si>
    <t>P1595</t>
  </si>
  <si>
    <t>P1596</t>
  </si>
  <si>
    <t>P1597</t>
  </si>
  <si>
    <t>P1598</t>
  </si>
  <si>
    <t>P1599</t>
  </si>
  <si>
    <r>
      <t xml:space="preserve">Q1. Convert </t>
    </r>
    <r>
      <rPr>
        <b/>
        <sz val="11"/>
        <color theme="1"/>
        <rFont val="Aptos Narrow"/>
        <family val="2"/>
        <scheme val="minor"/>
      </rPr>
      <t>Gender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Chest_Pain_Type</t>
    </r>
    <r>
      <rPr>
        <sz val="11"/>
        <color theme="1"/>
        <rFont val="Aptos Narrow"/>
        <family val="2"/>
        <scheme val="minor"/>
      </rPr>
      <t xml:space="preserve">, and </t>
    </r>
    <r>
      <rPr>
        <b/>
        <sz val="11"/>
        <color theme="1"/>
        <rFont val="Aptos Narrow"/>
        <family val="2"/>
        <scheme val="minor"/>
      </rPr>
      <t>Resting_ECG</t>
    </r>
    <r>
      <rPr>
        <sz val="11"/>
        <color theme="1"/>
        <rFont val="Aptos Narrow"/>
        <family val="2"/>
        <scheme val="minor"/>
      </rPr>
      <t xml:space="preserve"> into </t>
    </r>
    <r>
      <rPr>
        <b/>
        <sz val="11"/>
        <color theme="1"/>
        <rFont val="Aptos Narrow"/>
        <family val="2"/>
        <scheme val="minor"/>
      </rPr>
      <t>Proper Case</t>
    </r>
    <r>
      <rPr>
        <sz val="11"/>
        <color theme="1"/>
        <rFont val="Aptos Narrow"/>
        <family val="2"/>
        <scheme val="minor"/>
      </rPr>
      <t>.</t>
    </r>
  </si>
  <si>
    <t>If found, remove them.</t>
  </si>
  <si>
    <r>
      <t xml:space="preserve">Q2. Check if there are </t>
    </r>
    <r>
      <rPr>
        <b/>
        <sz val="11"/>
        <color theme="1"/>
        <rFont val="Aptos Narrow"/>
        <family val="2"/>
        <scheme val="minor"/>
      </rPr>
      <t>duplicate Patient_IDs</t>
    </r>
    <r>
      <rPr>
        <sz val="11"/>
        <color theme="1"/>
        <rFont val="Aptos Narrow"/>
        <family val="2"/>
        <scheme val="minor"/>
      </rPr>
      <t>.</t>
    </r>
  </si>
  <si>
    <r>
      <t xml:space="preserve">Resting_BP ≥ 140 → </t>
    </r>
    <r>
      <rPr>
        <sz val="10"/>
        <color theme="1"/>
        <rFont val="Arial Unicode MS"/>
      </rPr>
      <t>High BP</t>
    </r>
  </si>
  <si>
    <r>
      <t xml:space="preserve">Resting_BP between 120–139 → </t>
    </r>
    <r>
      <rPr>
        <sz val="10"/>
        <color theme="1"/>
        <rFont val="Arial Unicode MS"/>
      </rPr>
      <t>Pre-High BP</t>
    </r>
  </si>
  <si>
    <r>
      <t xml:space="preserve">Else → </t>
    </r>
    <r>
      <rPr>
        <sz val="10"/>
        <color theme="1"/>
        <rFont val="Arial Unicode MS"/>
      </rPr>
      <t>Normal</t>
    </r>
  </si>
  <si>
    <r>
      <t xml:space="preserve">Q3. Create a new column </t>
    </r>
    <r>
      <rPr>
        <b/>
        <sz val="11"/>
        <color theme="1"/>
        <rFont val="Aptos Narrow"/>
        <family val="2"/>
        <scheme val="minor"/>
      </rPr>
      <t>BP_Status</t>
    </r>
    <r>
      <rPr>
        <sz val="11"/>
        <color theme="1"/>
        <rFont val="Aptos Narrow"/>
        <family val="2"/>
        <scheme val="minor"/>
      </rPr>
      <t>:</t>
    </r>
  </si>
  <si>
    <t>Cholesterol &gt; 240 (Red)</t>
  </si>
  <si>
    <t>Resting_BP &gt; 160 (Orange)</t>
  </si>
  <si>
    <t>Q4. Highlight patients with:</t>
  </si>
  <si>
    <r>
      <t xml:space="preserve">Q1. Find the </t>
    </r>
    <r>
      <rPr>
        <b/>
        <sz val="11"/>
        <color theme="1"/>
        <rFont val="Aptos Narrow"/>
        <family val="2"/>
        <scheme val="minor"/>
      </rPr>
      <t>total number of patients</t>
    </r>
    <r>
      <rPr>
        <sz val="11"/>
        <color theme="1"/>
        <rFont val="Aptos Narrow"/>
        <family val="2"/>
        <scheme val="minor"/>
      </rPr>
      <t xml:space="preserve"> having heart disease.</t>
    </r>
  </si>
  <si>
    <r>
      <t xml:space="preserve">Q2. Find the </t>
    </r>
    <r>
      <rPr>
        <b/>
        <sz val="11"/>
        <color theme="1"/>
        <rFont val="Aptos Narrow"/>
        <family val="2"/>
        <scheme val="minor"/>
      </rPr>
      <t>number of male and female patients</t>
    </r>
    <r>
      <rPr>
        <sz val="11"/>
        <color theme="1"/>
        <rFont val="Aptos Narrow"/>
        <family val="2"/>
        <scheme val="minor"/>
      </rPr>
      <t xml:space="preserve"> with heart disease.</t>
    </r>
  </si>
  <si>
    <t>Patients with Heart Disease = Yes</t>
  </si>
  <si>
    <t>Patients with Heart Disease = No</t>
  </si>
  <si>
    <r>
      <t xml:space="preserve">Q3. Calculate </t>
    </r>
    <r>
      <rPr>
        <b/>
        <sz val="11"/>
        <color theme="1"/>
        <rFont val="Aptos Narrow"/>
        <family val="2"/>
        <scheme val="minor"/>
      </rPr>
      <t>average cholesterol</t>
    </r>
    <r>
      <rPr>
        <sz val="11"/>
        <color theme="1"/>
        <rFont val="Aptos Narrow"/>
        <family val="2"/>
        <scheme val="minor"/>
      </rPr>
      <t xml:space="preserve"> for:</t>
    </r>
  </si>
  <si>
    <r>
      <t xml:space="preserve">Q4. Find the </t>
    </r>
    <r>
      <rPr>
        <b/>
        <sz val="11"/>
        <color theme="1"/>
        <rFont val="Aptos Narrow"/>
        <family val="2"/>
        <scheme val="minor"/>
      </rPr>
      <t>average max heart rate</t>
    </r>
    <r>
      <rPr>
        <sz val="11"/>
        <color theme="1"/>
        <rFont val="Aptos Narrow"/>
        <family val="2"/>
        <scheme val="minor"/>
      </rPr>
      <t xml:space="preserve"> by Gender.</t>
    </r>
  </si>
  <si>
    <t>Age &gt; 50</t>
  </si>
  <si>
    <t>Heart Disease = Yes</t>
  </si>
  <si>
    <t>Exercise Induced Angina = Yes</t>
  </si>
  <si>
    <t>Q5. Count patients who:</t>
  </si>
  <si>
    <r>
      <t xml:space="preserve">Age ≥ 60 AND Heart Disease = Yes → </t>
    </r>
    <r>
      <rPr>
        <sz val="10"/>
        <color theme="1"/>
        <rFont val="Arial Unicode MS"/>
      </rPr>
      <t>High Risk</t>
    </r>
  </si>
  <si>
    <r>
      <t xml:space="preserve">Age between 45–59 AND Heart Disease = Yes → </t>
    </r>
    <r>
      <rPr>
        <sz val="10"/>
        <color theme="1"/>
        <rFont val="Arial Unicode MS"/>
      </rPr>
      <t>Medium Risk</t>
    </r>
  </si>
  <si>
    <r>
      <t xml:space="preserve">Else → </t>
    </r>
    <r>
      <rPr>
        <sz val="10"/>
        <color theme="1"/>
        <rFont val="Arial Unicode MS"/>
      </rPr>
      <t>Low Risk</t>
    </r>
  </si>
  <si>
    <r>
      <t xml:space="preserve">Q1. Create </t>
    </r>
    <r>
      <rPr>
        <b/>
        <sz val="11"/>
        <color theme="1"/>
        <rFont val="Aptos Narrow"/>
        <family val="2"/>
        <scheme val="minor"/>
      </rPr>
      <t>Risk_Level</t>
    </r>
    <r>
      <rPr>
        <sz val="11"/>
        <color theme="1"/>
        <rFont val="Aptos Narrow"/>
        <family val="2"/>
        <scheme val="minor"/>
      </rPr>
      <t xml:space="preserve"> column:</t>
    </r>
  </si>
  <si>
    <r>
      <t xml:space="preserve">Fasting Blood Sugar = Yes → </t>
    </r>
    <r>
      <rPr>
        <sz val="10"/>
        <color theme="1"/>
        <rFont val="Arial Unicode MS"/>
      </rPr>
      <t>Diabetic Risk</t>
    </r>
  </si>
  <si>
    <r>
      <t xml:space="preserve">Q2. Create </t>
    </r>
    <r>
      <rPr>
        <b/>
        <sz val="11"/>
        <color theme="1"/>
        <rFont val="Aptos Narrow"/>
        <family val="2"/>
        <scheme val="minor"/>
      </rPr>
      <t>Sugar_Risk</t>
    </r>
    <r>
      <rPr>
        <sz val="11"/>
        <color theme="1"/>
        <rFont val="Aptos Narrow"/>
        <family val="2"/>
        <scheme val="minor"/>
      </rPr>
      <t xml:space="preserve"> column:</t>
    </r>
  </si>
  <si>
    <r>
      <t xml:space="preserve">Q3. Use </t>
    </r>
    <r>
      <rPr>
        <b/>
        <sz val="11"/>
        <color theme="1"/>
        <rFont val="Aptos Narrow"/>
        <family val="2"/>
        <scheme val="minor"/>
      </rPr>
      <t>IFERROR()</t>
    </r>
    <r>
      <rPr>
        <sz val="11"/>
        <color theme="1"/>
        <rFont val="Aptos Narrow"/>
        <family val="2"/>
        <scheme val="minor"/>
      </rPr>
      <t xml:space="preserve"> to safely calculate:</t>
    </r>
  </si>
  <si>
    <t>risk_score = cholestrol/max_heart_rate</t>
  </si>
  <si>
    <r>
      <t xml:space="preserve">Example: </t>
    </r>
    <r>
      <rPr>
        <sz val="10"/>
        <color theme="1"/>
        <rFont val="Arial Unicode MS"/>
      </rPr>
      <t>P1045</t>
    </r>
    <r>
      <rPr>
        <sz val="11"/>
        <color theme="1"/>
        <rFont val="Aptos Narrow"/>
        <family val="2"/>
        <scheme val="minor"/>
      </rPr>
      <t xml:space="preserve"> → </t>
    </r>
    <r>
      <rPr>
        <sz val="10"/>
        <color theme="1"/>
        <rFont val="Arial Unicode MS"/>
      </rPr>
      <t>1045</t>
    </r>
  </si>
  <si>
    <r>
      <t xml:space="preserve">Q1. Extract only the </t>
    </r>
    <r>
      <rPr>
        <b/>
        <sz val="11"/>
        <color theme="1"/>
        <rFont val="Aptos Narrow"/>
        <family val="2"/>
        <scheme val="minor"/>
      </rPr>
      <t>numeric part</t>
    </r>
    <r>
      <rPr>
        <sz val="11"/>
        <color theme="1"/>
        <rFont val="Aptos Narrow"/>
        <family val="2"/>
        <scheme val="minor"/>
      </rPr>
      <t xml:space="preserve"> from Patient_ID</t>
    </r>
  </si>
  <si>
    <t>First letter of Gender + Age</t>
  </si>
  <si>
    <r>
      <t xml:space="preserve">Example: Male, 55 → </t>
    </r>
    <r>
      <rPr>
        <sz val="10"/>
        <color theme="1"/>
        <rFont val="Arial Unicode MS"/>
      </rPr>
      <t>M55</t>
    </r>
  </si>
  <si>
    <r>
      <t xml:space="preserve">Q2. Create </t>
    </r>
    <r>
      <rPr>
        <b/>
        <sz val="11"/>
        <color theme="1"/>
        <rFont val="Aptos Narrow"/>
        <family val="2"/>
        <scheme val="minor"/>
      </rPr>
      <t>Patient_Code</t>
    </r>
    <r>
      <rPr>
        <sz val="11"/>
        <color theme="1"/>
        <rFont val="Aptos Narrow"/>
        <family val="2"/>
        <scheme val="minor"/>
      </rPr>
      <t>:</t>
    </r>
  </si>
  <si>
    <r>
      <t xml:space="preserve">Q3. Find the </t>
    </r>
    <r>
      <rPr>
        <b/>
        <sz val="11"/>
        <color theme="1"/>
        <rFont val="Aptos Narrow"/>
        <family val="2"/>
        <scheme val="minor"/>
      </rPr>
      <t>length</t>
    </r>
    <r>
      <rPr>
        <sz val="11"/>
        <color theme="1"/>
        <rFont val="Aptos Narrow"/>
        <family val="2"/>
        <scheme val="minor"/>
      </rPr>
      <t xml:space="preserve"> of Chest_Pain_Type text.</t>
    </r>
  </si>
  <si>
    <t>Age_Range</t>
  </si>
  <si>
    <t>Risk_Category</t>
  </si>
  <si>
    <t>30-44</t>
  </si>
  <si>
    <t>Low</t>
  </si>
  <si>
    <t>45-59</t>
  </si>
  <si>
    <t>Medium</t>
  </si>
  <si>
    <t>60-80</t>
  </si>
  <si>
    <t>High</t>
  </si>
  <si>
    <r>
      <t xml:space="preserve">Q1. Using </t>
    </r>
    <r>
      <rPr>
        <b/>
        <sz val="11"/>
        <color theme="1"/>
        <rFont val="Aptos Narrow"/>
        <family val="2"/>
        <scheme val="minor"/>
      </rPr>
      <t>VLOOKUP / XLOOKUP</t>
    </r>
    <r>
      <rPr>
        <sz val="11"/>
        <color theme="1"/>
        <rFont val="Aptos Narrow"/>
        <family val="2"/>
        <scheme val="minor"/>
      </rPr>
      <t xml:space="preserve">, assign </t>
    </r>
    <r>
      <rPr>
        <b/>
        <sz val="11"/>
        <color theme="1"/>
        <rFont val="Aptos Narrow"/>
        <family val="2"/>
        <scheme val="minor"/>
      </rPr>
      <t>Age_Risk_Category</t>
    </r>
    <r>
      <rPr>
        <sz val="11"/>
        <color theme="1"/>
        <rFont val="Aptos Narrow"/>
        <family val="2"/>
        <scheme val="minor"/>
      </rPr>
      <t xml:space="preserve"> to each patient.</t>
    </r>
  </si>
  <si>
    <r>
      <t xml:space="preserve">Q2. Use </t>
    </r>
    <r>
      <rPr>
        <b/>
        <sz val="11"/>
        <color theme="1"/>
        <rFont val="Aptos Narrow"/>
        <family val="2"/>
        <scheme val="minor"/>
      </rPr>
      <t>INDEX + MATCH</t>
    </r>
    <r>
      <rPr>
        <sz val="11"/>
        <color theme="1"/>
        <rFont val="Aptos Narrow"/>
        <family val="2"/>
        <scheme val="minor"/>
      </rPr>
      <t xml:space="preserve"> to fetch Risk_Category for Age = 52.</t>
    </r>
  </si>
  <si>
    <t>Heart Disease count by Gender</t>
  </si>
  <si>
    <t>Q1. Create a pivot table showing:</t>
  </si>
  <si>
    <t>Average Cholesterol by Chest_Pain_Type</t>
  </si>
  <si>
    <t>Q2. Create a pivot:</t>
  </si>
  <si>
    <t>Heart Disease % by Age Group</t>
  </si>
  <si>
    <t>(Age groups: 30–44, 45–59, 60+)</t>
  </si>
  <si>
    <t>Q3.Create a pivot:</t>
  </si>
  <si>
    <r>
      <t xml:space="preserve">Q4. Identify </t>
    </r>
    <r>
      <rPr>
        <b/>
        <sz val="11"/>
        <color theme="1"/>
        <rFont val="Aptos Narrow"/>
        <family val="2"/>
        <scheme val="minor"/>
      </rPr>
      <t>Top 5 highest cholesterol patients</t>
    </r>
    <r>
      <rPr>
        <sz val="11"/>
        <color theme="1"/>
        <rFont val="Aptos Narrow"/>
        <family val="2"/>
        <scheme val="minor"/>
      </rPr>
      <t>.</t>
    </r>
  </si>
  <si>
    <r>
      <t xml:space="preserve">Q5. Find which </t>
    </r>
    <r>
      <rPr>
        <b/>
        <sz val="11"/>
        <color theme="1"/>
        <rFont val="Aptos Narrow"/>
        <family val="2"/>
        <scheme val="minor"/>
      </rPr>
      <t>Chest Pain Type</t>
    </r>
    <r>
      <rPr>
        <sz val="11"/>
        <color theme="1"/>
        <rFont val="Aptos Narrow"/>
        <family val="2"/>
        <scheme val="minor"/>
      </rPr>
      <t xml:space="preserve"> has the </t>
    </r>
    <r>
      <rPr>
        <b/>
        <sz val="11"/>
        <color theme="1"/>
        <rFont val="Aptos Narrow"/>
        <family val="2"/>
        <scheme val="minor"/>
      </rPr>
      <t>highest heart disease rate</t>
    </r>
    <r>
      <rPr>
        <sz val="11"/>
        <color theme="1"/>
        <rFont val="Aptos Narrow"/>
        <family val="2"/>
        <scheme val="minor"/>
      </rPr>
      <t>.</t>
    </r>
  </si>
  <si>
    <r>
      <t xml:space="preserve">Create a </t>
    </r>
    <r>
      <rPr>
        <b/>
        <sz val="11"/>
        <color theme="1"/>
        <rFont val="Aptos Narrow"/>
        <family val="2"/>
        <scheme val="minor"/>
      </rPr>
      <t>1-page dashboard</t>
    </r>
    <r>
      <rPr>
        <sz val="11"/>
        <color theme="1"/>
        <rFont val="Aptos Narrow"/>
        <family val="2"/>
        <scheme val="minor"/>
      </rPr>
      <t xml:space="preserve"> answering:</t>
    </r>
  </si>
  <si>
    <t>Who is at highest risk?</t>
  </si>
  <si>
    <t>Which age group is most affected?</t>
  </si>
  <si>
    <t>Does gender matter?</t>
  </si>
  <si>
    <t>Impact of cholesterol &amp; BP</t>
  </si>
  <si>
    <t>BP_Status</t>
  </si>
  <si>
    <t>No.of Patients with Heart-Disease</t>
  </si>
  <si>
    <t>Count</t>
  </si>
  <si>
    <t>Heart Disease</t>
  </si>
  <si>
    <t>Avg Cholestrol</t>
  </si>
  <si>
    <t>Risk_Level</t>
  </si>
  <si>
    <t>Sugar_Risk_Level</t>
  </si>
  <si>
    <t>Risk_Score</t>
  </si>
  <si>
    <t>Patient_Ids</t>
  </si>
  <si>
    <t>Patient_Code</t>
  </si>
  <si>
    <t>Length_Chest_Pain</t>
  </si>
  <si>
    <t>Age_Risk_Category</t>
  </si>
  <si>
    <t>Min_Age</t>
  </si>
  <si>
    <t>Index &amp; Match</t>
  </si>
  <si>
    <t>Grand Total</t>
  </si>
  <si>
    <t>Heart_Diseases</t>
  </si>
  <si>
    <t>Chest Pain Type</t>
  </si>
  <si>
    <t>Avg  Cholesterol</t>
  </si>
  <si>
    <t>&lt;30</t>
  </si>
  <si>
    <t>&gt;60</t>
  </si>
  <si>
    <t>45-60</t>
  </si>
  <si>
    <t>% of Heart Disease</t>
  </si>
  <si>
    <t>1030</t>
  </si>
  <si>
    <t>1069</t>
  </si>
  <si>
    <t>1095</t>
  </si>
  <si>
    <t>1422</t>
  </si>
  <si>
    <t>1444</t>
  </si>
  <si>
    <t>Patients</t>
  </si>
  <si>
    <t>Cholesteroll</t>
  </si>
  <si>
    <t>Chest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</si>
</sst>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1" xfId="0" applyBorder="1"/>
    <xf numFmtId="0" fontId="0" fillId="0" borderId="12" xfId="0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applyAlignment="1">
      <alignment horizontal="left" vertical="center" indent="1"/>
    </xf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left" vertical="center" indent="1"/>
    </xf>
    <xf numFmtId="0" fontId="0" fillId="0" borderId="0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10" xfId="0" applyNumberFormat="1" applyBorder="1"/>
    <xf numFmtId="0" fontId="0" fillId="0" borderId="17" xfId="0" applyNumberFormat="1" applyBorder="1"/>
    <xf numFmtId="0" fontId="0" fillId="0" borderId="10" xfId="0" applyBorder="1" applyAlignment="1">
      <alignment horizontal="left" vertical="center" indent="1"/>
    </xf>
    <xf numFmtId="0" fontId="16" fillId="0" borderId="10" xfId="0" applyFont="1" applyBorder="1" applyAlignment="1">
      <alignment horizontal="left" vertical="center" indent="1"/>
    </xf>
    <xf numFmtId="0" fontId="0" fillId="0" borderId="0" xfId="0" quotePrefix="1"/>
    <xf numFmtId="0" fontId="0" fillId="0" borderId="14" xfId="0" applyBorder="1"/>
    <xf numFmtId="0" fontId="0" fillId="0" borderId="14" xfId="0" quotePrefix="1" applyBorder="1"/>
    <xf numFmtId="0" fontId="0" fillId="0" borderId="10" xfId="0" applyFill="1" applyBorder="1"/>
    <xf numFmtId="0" fontId="0" fillId="0" borderId="10" xfId="0" pivotButton="1" applyBorder="1"/>
    <xf numFmtId="0" fontId="0" fillId="0" borderId="10" xfId="0" applyBorder="1" applyAlignment="1">
      <alignment horizontal="left"/>
    </xf>
    <xf numFmtId="9" fontId="0" fillId="0" borderId="10" xfId="0" applyNumberFormat="1" applyBorder="1"/>
    <xf numFmtId="10" fontId="0" fillId="0" borderId="10" xfId="0" applyNumberFormat="1" applyBorder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9">
    <dxf>
      <fill>
        <patternFill>
          <bgColor rgb="FFFF6600"/>
        </patternFill>
      </fill>
    </dxf>
    <dxf>
      <fill>
        <patternFill>
          <bgColor rgb="FFFF000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51.447776967594" createdVersion="8" refreshedVersion="8" minRefreshableVersion="3" recordCount="600" xr:uid="{246C7B3A-749D-49E3-B947-B26BDACC1331}">
  <cacheSource type="worksheet">
    <worksheetSource ref="A1:S601" sheet="Dataset"/>
  </cacheSource>
  <cacheFields count="19">
    <cacheField name="Patient_ID" numFmtId="0">
      <sharedItems/>
    </cacheField>
    <cacheField name="Patient_Ids" numFmtId="0">
      <sharedItems count="600">
        <s v="1000"/>
        <s v="1001"/>
        <s v="1002"/>
        <s v="1003"/>
        <s v="1004"/>
        <s v="1005"/>
        <s v="1006"/>
        <s v="1007"/>
        <s v="1008"/>
        <s v="1009"/>
        <s v="1010"/>
        <s v="1011"/>
        <s v="1012"/>
        <s v="1013"/>
        <s v="1014"/>
        <s v="1015"/>
        <s v="1016"/>
        <s v="1017"/>
        <s v="1018"/>
        <s v="1019"/>
        <s v="1020"/>
        <s v="1021"/>
        <s v="1022"/>
        <s v="1023"/>
        <s v="1024"/>
        <s v="1025"/>
        <s v="1026"/>
        <s v="1027"/>
        <s v="1028"/>
        <s v="1029"/>
        <s v="1030"/>
        <s v="1031"/>
        <s v="1032"/>
        <s v="1033"/>
        <s v="1034"/>
        <s v="1035"/>
        <s v="1036"/>
        <s v="1037"/>
        <s v="1038"/>
        <s v="1039"/>
        <s v="1040"/>
        <s v="1041"/>
        <s v="1042"/>
        <s v="1043"/>
        <s v="1044"/>
        <s v="1045"/>
        <s v="1046"/>
        <s v="1047"/>
        <s v="1048"/>
        <s v="1049"/>
        <s v="1050"/>
        <s v="1051"/>
        <s v="1052"/>
        <s v="1053"/>
        <s v="1054"/>
        <s v="1055"/>
        <s v="1056"/>
        <s v="1057"/>
        <s v="1058"/>
        <s v="1059"/>
        <s v="1060"/>
        <s v="1061"/>
        <s v="1062"/>
        <s v="1063"/>
        <s v="1064"/>
        <s v="1065"/>
        <s v="1066"/>
        <s v="1067"/>
        <s v="1068"/>
        <s v="1069"/>
        <s v="1070"/>
        <s v="1071"/>
        <s v="1072"/>
        <s v="1073"/>
        <s v="1074"/>
        <s v="1075"/>
        <s v="1076"/>
        <s v="1077"/>
        <s v="1078"/>
        <s v="1079"/>
        <s v="1080"/>
        <s v="1081"/>
        <s v="1082"/>
        <s v="1083"/>
        <s v="1084"/>
        <s v="1085"/>
        <s v="1086"/>
        <s v="1087"/>
        <s v="1088"/>
        <s v="1089"/>
        <s v="1090"/>
        <s v="1091"/>
        <s v="1092"/>
        <s v="1093"/>
        <s v="1094"/>
        <s v="1095"/>
        <s v="1096"/>
        <s v="1097"/>
        <s v="1098"/>
        <s v="1099"/>
        <s v="1100"/>
        <s v="1101"/>
        <s v="1102"/>
        <s v="1103"/>
        <s v="1104"/>
        <s v="1105"/>
        <s v="1106"/>
        <s v="1107"/>
        <s v="1108"/>
        <s v="1109"/>
        <s v="1110"/>
        <s v="1111"/>
        <s v="1112"/>
        <s v="1113"/>
        <s v="1114"/>
        <s v="1115"/>
        <s v="1116"/>
        <s v="1117"/>
        <s v="1118"/>
        <s v="1119"/>
        <s v="1120"/>
        <s v="1121"/>
        <s v="1122"/>
        <s v="1123"/>
        <s v="1124"/>
        <s v="1125"/>
        <s v="1126"/>
        <s v="1127"/>
        <s v="1128"/>
        <s v="1129"/>
        <s v="1130"/>
        <s v="1131"/>
        <s v="1132"/>
        <s v="1133"/>
        <s v="1134"/>
        <s v="1135"/>
        <s v="1136"/>
        <s v="1137"/>
        <s v="1138"/>
        <s v="1139"/>
        <s v="1140"/>
        <s v="1141"/>
        <s v="1142"/>
        <s v="1143"/>
        <s v="1144"/>
        <s v="1145"/>
        <s v="1146"/>
        <s v="1147"/>
        <s v="1148"/>
        <s v="1149"/>
        <s v="1150"/>
        <s v="1151"/>
        <s v="1152"/>
        <s v="1153"/>
        <s v="1154"/>
        <s v="1155"/>
        <s v="1156"/>
        <s v="1157"/>
        <s v="1158"/>
        <s v="1159"/>
        <s v="1160"/>
        <s v="1161"/>
        <s v="1162"/>
        <s v="1163"/>
        <s v="1164"/>
        <s v="1165"/>
        <s v="1166"/>
        <s v="1167"/>
        <s v="1168"/>
        <s v="1169"/>
        <s v="1170"/>
        <s v="1171"/>
        <s v="1172"/>
        <s v="1173"/>
        <s v="1174"/>
        <s v="1175"/>
        <s v="1176"/>
        <s v="1177"/>
        <s v="1178"/>
        <s v="1179"/>
        <s v="1180"/>
        <s v="1181"/>
        <s v="1182"/>
        <s v="1183"/>
        <s v="1184"/>
        <s v="1185"/>
        <s v="1186"/>
        <s v="1187"/>
        <s v="1188"/>
        <s v="1189"/>
        <s v="1190"/>
        <s v="1191"/>
        <s v="1192"/>
        <s v="1193"/>
        <s v="1194"/>
        <s v="1195"/>
        <s v="1196"/>
        <s v="1197"/>
        <s v="1198"/>
        <s v="1199"/>
        <s v="1200"/>
        <s v="1201"/>
        <s v="1202"/>
        <s v="1203"/>
        <s v="1204"/>
        <s v="1205"/>
        <s v="1206"/>
        <s v="1207"/>
        <s v="1208"/>
        <s v="1209"/>
        <s v="1210"/>
        <s v="1211"/>
        <s v="1212"/>
        <s v="1213"/>
        <s v="1214"/>
        <s v="1215"/>
        <s v="1216"/>
        <s v="1217"/>
        <s v="1218"/>
        <s v="1219"/>
        <s v="1220"/>
        <s v="1221"/>
        <s v="1222"/>
        <s v="1223"/>
        <s v="1224"/>
        <s v="1225"/>
        <s v="1226"/>
        <s v="1227"/>
        <s v="1228"/>
        <s v="1229"/>
        <s v="1230"/>
        <s v="1231"/>
        <s v="1232"/>
        <s v="1233"/>
        <s v="1234"/>
        <s v="1235"/>
        <s v="1236"/>
        <s v="1237"/>
        <s v="1238"/>
        <s v="1239"/>
        <s v="1240"/>
        <s v="1241"/>
        <s v="1242"/>
        <s v="1243"/>
        <s v="1244"/>
        <s v="1245"/>
        <s v="1246"/>
        <s v="1247"/>
        <s v="1248"/>
        <s v="1249"/>
        <s v="1250"/>
        <s v="1251"/>
        <s v="1252"/>
        <s v="1253"/>
        <s v="1254"/>
        <s v="1255"/>
        <s v="1256"/>
        <s v="1257"/>
        <s v="1258"/>
        <s v="1259"/>
        <s v="1260"/>
        <s v="1261"/>
        <s v="1262"/>
        <s v="1263"/>
        <s v="1264"/>
        <s v="1265"/>
        <s v="1266"/>
        <s v="1267"/>
        <s v="1268"/>
        <s v="1269"/>
        <s v="1270"/>
        <s v="1271"/>
        <s v="1272"/>
        <s v="1273"/>
        <s v="1274"/>
        <s v="1275"/>
        <s v="1276"/>
        <s v="1277"/>
        <s v="1278"/>
        <s v="1279"/>
        <s v="1280"/>
        <s v="1281"/>
        <s v="1282"/>
        <s v="1283"/>
        <s v="1284"/>
        <s v="1285"/>
        <s v="1286"/>
        <s v="1287"/>
        <s v="1288"/>
        <s v="1289"/>
        <s v="1290"/>
        <s v="1291"/>
        <s v="1292"/>
        <s v="1293"/>
        <s v="1294"/>
        <s v="1295"/>
        <s v="1296"/>
        <s v="1297"/>
        <s v="1298"/>
        <s v="1299"/>
        <s v="1300"/>
        <s v="1301"/>
        <s v="1302"/>
        <s v="1303"/>
        <s v="1304"/>
        <s v="1305"/>
        <s v="1306"/>
        <s v="1307"/>
        <s v="1308"/>
        <s v="1309"/>
        <s v="1310"/>
        <s v="1311"/>
        <s v="1312"/>
        <s v="1313"/>
        <s v="1314"/>
        <s v="1315"/>
        <s v="1316"/>
        <s v="1317"/>
        <s v="1318"/>
        <s v="1319"/>
        <s v="1320"/>
        <s v="1321"/>
        <s v="1322"/>
        <s v="1323"/>
        <s v="1324"/>
        <s v="1325"/>
        <s v="1326"/>
        <s v="1327"/>
        <s v="1328"/>
        <s v="1329"/>
        <s v="1330"/>
        <s v="1331"/>
        <s v="1332"/>
        <s v="1333"/>
        <s v="1334"/>
        <s v="1335"/>
        <s v="1336"/>
        <s v="1337"/>
        <s v="1338"/>
        <s v="1339"/>
        <s v="1340"/>
        <s v="1341"/>
        <s v="1342"/>
        <s v="1343"/>
        <s v="1344"/>
        <s v="1345"/>
        <s v="1346"/>
        <s v="1347"/>
        <s v="1348"/>
        <s v="1349"/>
        <s v="1350"/>
        <s v="1351"/>
        <s v="1352"/>
        <s v="1353"/>
        <s v="1354"/>
        <s v="1355"/>
        <s v="1356"/>
        <s v="1357"/>
        <s v="1358"/>
        <s v="1359"/>
        <s v="1360"/>
        <s v="1361"/>
        <s v="1362"/>
        <s v="1363"/>
        <s v="1364"/>
        <s v="1365"/>
        <s v="1366"/>
        <s v="1367"/>
        <s v="1368"/>
        <s v="1369"/>
        <s v="1370"/>
        <s v="1371"/>
        <s v="1372"/>
        <s v="1373"/>
        <s v="1374"/>
        <s v="1375"/>
        <s v="1376"/>
        <s v="1377"/>
        <s v="1378"/>
        <s v="1379"/>
        <s v="1380"/>
        <s v="1381"/>
        <s v="1382"/>
        <s v="1383"/>
        <s v="1384"/>
        <s v="1385"/>
        <s v="1386"/>
        <s v="1387"/>
        <s v="1388"/>
        <s v="1389"/>
        <s v="1390"/>
        <s v="1391"/>
        <s v="1392"/>
        <s v="1393"/>
        <s v="1394"/>
        <s v="1395"/>
        <s v="1396"/>
        <s v="1397"/>
        <s v="1398"/>
        <s v="1399"/>
        <s v="1400"/>
        <s v="1401"/>
        <s v="1402"/>
        <s v="1403"/>
        <s v="1404"/>
        <s v="1405"/>
        <s v="1406"/>
        <s v="1407"/>
        <s v="1408"/>
        <s v="1409"/>
        <s v="1410"/>
        <s v="1411"/>
        <s v="1412"/>
        <s v="1413"/>
        <s v="1414"/>
        <s v="1415"/>
        <s v="1416"/>
        <s v="1417"/>
        <s v="1418"/>
        <s v="1419"/>
        <s v="1420"/>
        <s v="1421"/>
        <s v="1422"/>
        <s v="1423"/>
        <s v="1424"/>
        <s v="1425"/>
        <s v="1426"/>
        <s v="1427"/>
        <s v="1428"/>
        <s v="1429"/>
        <s v="1430"/>
        <s v="1431"/>
        <s v="1432"/>
        <s v="1433"/>
        <s v="1434"/>
        <s v="1435"/>
        <s v="1436"/>
        <s v="1437"/>
        <s v="1438"/>
        <s v="1439"/>
        <s v="1440"/>
        <s v="1441"/>
        <s v="1442"/>
        <s v="1443"/>
        <s v="1444"/>
        <s v="1445"/>
        <s v="1446"/>
        <s v="1447"/>
        <s v="1448"/>
        <s v="1449"/>
        <s v="1450"/>
        <s v="1451"/>
        <s v="1452"/>
        <s v="1453"/>
        <s v="1454"/>
        <s v="1455"/>
        <s v="1456"/>
        <s v="1457"/>
        <s v="1458"/>
        <s v="1459"/>
        <s v="1460"/>
        <s v="1461"/>
        <s v="1462"/>
        <s v="1463"/>
        <s v="1464"/>
        <s v="1465"/>
        <s v="1466"/>
        <s v="1467"/>
        <s v="1468"/>
        <s v="1469"/>
        <s v="1470"/>
        <s v="1471"/>
        <s v="1472"/>
        <s v="1473"/>
        <s v="1474"/>
        <s v="1475"/>
        <s v="1476"/>
        <s v="1477"/>
        <s v="1478"/>
        <s v="1479"/>
        <s v="1480"/>
        <s v="1481"/>
        <s v="1482"/>
        <s v="1483"/>
        <s v="1484"/>
        <s v="1485"/>
        <s v="1486"/>
        <s v="1487"/>
        <s v="1488"/>
        <s v="1489"/>
        <s v="1490"/>
        <s v="1491"/>
        <s v="1492"/>
        <s v="1493"/>
        <s v="1494"/>
        <s v="1495"/>
        <s v="1496"/>
        <s v="1497"/>
        <s v="1498"/>
        <s v="1499"/>
        <s v="1500"/>
        <s v="1501"/>
        <s v="1502"/>
        <s v="1503"/>
        <s v="1504"/>
        <s v="1505"/>
        <s v="1506"/>
        <s v="1507"/>
        <s v="1508"/>
        <s v="1509"/>
        <s v="1510"/>
        <s v="1511"/>
        <s v="1512"/>
        <s v="1513"/>
        <s v="1514"/>
        <s v="1515"/>
        <s v="1516"/>
        <s v="1517"/>
        <s v="1518"/>
        <s v="1519"/>
        <s v="1520"/>
        <s v="1521"/>
        <s v="1522"/>
        <s v="1523"/>
        <s v="1524"/>
        <s v="1525"/>
        <s v="1526"/>
        <s v="1527"/>
        <s v="1528"/>
        <s v="1529"/>
        <s v="1530"/>
        <s v="1531"/>
        <s v="1532"/>
        <s v="1533"/>
        <s v="1534"/>
        <s v="1535"/>
        <s v="1536"/>
        <s v="1537"/>
        <s v="1538"/>
        <s v="1539"/>
        <s v="1540"/>
        <s v="1541"/>
        <s v="1542"/>
        <s v="1543"/>
        <s v="1544"/>
        <s v="1545"/>
        <s v="1546"/>
        <s v="1547"/>
        <s v="1548"/>
        <s v="1549"/>
        <s v="1550"/>
        <s v="1551"/>
        <s v="1552"/>
        <s v="1553"/>
        <s v="1554"/>
        <s v="1555"/>
        <s v="1556"/>
        <s v="1557"/>
        <s v="1558"/>
        <s v="1559"/>
        <s v="1560"/>
        <s v="1561"/>
        <s v="1562"/>
        <s v="1563"/>
        <s v="1564"/>
        <s v="1565"/>
        <s v="1566"/>
        <s v="1567"/>
        <s v="1568"/>
        <s v="1569"/>
        <s v="1570"/>
        <s v="1571"/>
        <s v="1572"/>
        <s v="1573"/>
        <s v="1574"/>
        <s v="1575"/>
        <s v="1576"/>
        <s v="1577"/>
        <s v="1578"/>
        <s v="1579"/>
        <s v="1580"/>
        <s v="1581"/>
        <s v="1582"/>
        <s v="1583"/>
        <s v="1584"/>
        <s v="1585"/>
        <s v="1586"/>
        <s v="1587"/>
        <s v="1588"/>
        <s v="1589"/>
        <s v="1590"/>
        <s v="1591"/>
        <s v="1592"/>
        <s v="1593"/>
        <s v="1594"/>
        <s v="1595"/>
        <s v="1596"/>
        <s v="1597"/>
        <s v="1598"/>
        <s v="1599"/>
      </sharedItems>
    </cacheField>
    <cacheField name="Age" numFmtId="0">
      <sharedItems containsSemiMixedTypes="0" containsString="0" containsNumber="1" containsInteger="1" minValue="29" maxValue="79" count="51">
        <n v="67"/>
        <n v="44"/>
        <n v="43"/>
        <n v="71"/>
        <n v="36"/>
        <n v="49"/>
        <n v="47"/>
        <n v="51"/>
        <n v="39"/>
        <n v="52"/>
        <n v="64"/>
        <n v="68"/>
        <n v="31"/>
        <n v="50"/>
        <n v="30"/>
        <n v="72"/>
        <n v="58"/>
        <n v="66"/>
        <n v="61"/>
        <n v="40"/>
        <n v="53"/>
        <n v="77"/>
        <n v="55"/>
        <n v="70"/>
        <n v="56"/>
        <n v="75"/>
        <n v="79"/>
        <n v="65"/>
        <n v="35"/>
        <n v="37"/>
        <n v="46"/>
        <n v="32"/>
        <n v="42"/>
        <n v="78"/>
        <n v="54"/>
        <n v="48"/>
        <n v="63"/>
        <n v="45"/>
        <n v="34"/>
        <n v="57"/>
        <n v="62"/>
        <n v="38"/>
        <n v="59"/>
        <n v="76"/>
        <n v="73"/>
        <n v="69"/>
        <n v="29"/>
        <n v="33"/>
        <n v="41"/>
        <n v="60"/>
        <n v="74"/>
      </sharedItems>
      <fieldGroup base="2">
        <rangePr autoStart="0" autoEnd="0" startNum="30" endNum="60" groupInterval="15"/>
        <groupItems count="4">
          <s v="&lt;30"/>
          <s v="30-44"/>
          <s v="45-60"/>
          <s v="&gt;60"/>
        </groupItems>
      </fieldGroup>
    </cacheField>
    <cacheField name="Age_Risk_Category" numFmtId="0">
      <sharedItems/>
    </cacheField>
    <cacheField name="Gender" numFmtId="0">
      <sharedItems count="2">
        <s v="Female"/>
        <s v="Male"/>
      </sharedItems>
    </cacheField>
    <cacheField name="Patient_Code" numFmtId="0">
      <sharedItems/>
    </cacheField>
    <cacheField name="Chest_Pain_Type" numFmtId="0">
      <sharedItems count="4">
        <s v="Non-anginal"/>
        <s v="Typical Angina"/>
        <s v="Atypical Angina"/>
        <s v="Asymptomatic"/>
      </sharedItems>
    </cacheField>
    <cacheField name="Length_Chest_Pain" numFmtId="0">
      <sharedItems containsSemiMixedTypes="0" containsString="0" containsNumber="1" containsInteger="1" minValue="11" maxValue="15"/>
    </cacheField>
    <cacheField name="Resting_BP" numFmtId="0">
      <sharedItems containsSemiMixedTypes="0" containsString="0" containsNumber="1" containsInteger="1" minValue="90" maxValue="189"/>
    </cacheField>
    <cacheField name="BP_Status" numFmtId="0">
      <sharedItems/>
    </cacheField>
    <cacheField name="Cholesterol" numFmtId="0">
      <sharedItems containsSemiMixedTypes="0" containsString="0" containsNumber="1" containsInteger="1" minValue="120" maxValue="349"/>
    </cacheField>
    <cacheField name="Fasting_Blood_Sugar" numFmtId="0">
      <sharedItems/>
    </cacheField>
    <cacheField name="Sugar_Risk_Level" numFmtId="0">
      <sharedItems/>
    </cacheField>
    <cacheField name="Resting_ECG" numFmtId="0">
      <sharedItems/>
    </cacheField>
    <cacheField name="Max_Heart_Rate" numFmtId="0">
      <sharedItems containsSemiMixedTypes="0" containsString="0" containsNumber="1" containsInteger="1" minValue="90" maxValue="209"/>
    </cacheField>
    <cacheField name="Exercise_Induced_Angina" numFmtId="0">
      <sharedItems/>
    </cacheField>
    <cacheField name="Heart_Disease" numFmtId="0">
      <sharedItems/>
    </cacheField>
    <cacheField name="Risk_Level" numFmtId="0">
      <sharedItems/>
    </cacheField>
    <cacheField name="Risk_Score" numFmtId="0">
      <sharedItems containsSemiMixedTypes="0" containsString="0" containsNumber="1" minValue="0.58937198067632846" maxValue="3.73626373626373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0">
  <r>
    <s v="P1000"/>
    <x v="0"/>
    <x v="0"/>
    <s v="High"/>
    <x v="0"/>
    <s v="F67"/>
    <x v="0"/>
    <n v="11"/>
    <n v="108"/>
    <s v="Normal"/>
    <n v="145"/>
    <s v="No"/>
    <s v="Normal"/>
    <s v="Normal"/>
    <n v="202"/>
    <s v="No"/>
    <s v="Yes"/>
    <s v="High Risk"/>
    <n v="0.71782178217821779"/>
  </r>
  <r>
    <s v="P1001"/>
    <x v="1"/>
    <x v="1"/>
    <s v="Low"/>
    <x v="1"/>
    <s v="M44"/>
    <x v="1"/>
    <n v="14"/>
    <n v="140"/>
    <s v="High BP"/>
    <n v="127"/>
    <s v="Yes"/>
    <s v="Diabetic Risk"/>
    <s v="ST-T Abnormality"/>
    <n v="127"/>
    <s v="Yes"/>
    <s v="Yes"/>
    <s v="No Risk"/>
    <n v="1"/>
  </r>
  <r>
    <s v="P1002"/>
    <x v="2"/>
    <x v="2"/>
    <s v="Low"/>
    <x v="0"/>
    <s v="F43"/>
    <x v="2"/>
    <n v="15"/>
    <n v="148"/>
    <s v="High BP"/>
    <n v="219"/>
    <s v="Yes"/>
    <s v="Diabetic Risk"/>
    <s v="ST-T Abnormality"/>
    <n v="153"/>
    <s v="No"/>
    <s v="No"/>
    <s v="No Risk"/>
    <n v="1.4313725490196079"/>
  </r>
  <r>
    <s v="P1003"/>
    <x v="3"/>
    <x v="3"/>
    <s v="High"/>
    <x v="0"/>
    <s v="F71"/>
    <x v="2"/>
    <n v="15"/>
    <n v="120"/>
    <s v="Normal"/>
    <n v="341"/>
    <s v="No"/>
    <s v="Normal"/>
    <s v="ST-T Abnormality"/>
    <n v="158"/>
    <s v="Yes"/>
    <s v="No"/>
    <s v="No Risk"/>
    <n v="2.1582278481012658"/>
  </r>
  <r>
    <s v="P1004"/>
    <x v="4"/>
    <x v="4"/>
    <s v="Low"/>
    <x v="1"/>
    <s v="M36"/>
    <x v="3"/>
    <n v="12"/>
    <n v="150"/>
    <s v="High BP"/>
    <n v="206"/>
    <s v="Yes"/>
    <s v="Diabetic Risk"/>
    <s v="ST-T Abnormality"/>
    <n v="97"/>
    <s v="No"/>
    <s v="Yes"/>
    <s v="No Risk"/>
    <n v="2.1237113402061856"/>
  </r>
  <r>
    <s v="P1005"/>
    <x v="5"/>
    <x v="5"/>
    <s v="Medium"/>
    <x v="0"/>
    <s v="F49"/>
    <x v="2"/>
    <n v="15"/>
    <n v="106"/>
    <s v="Normal"/>
    <n v="161"/>
    <s v="No"/>
    <s v="Normal"/>
    <s v="LV Hypertrophy"/>
    <n v="123"/>
    <s v="No"/>
    <s v="Yes"/>
    <s v="Medium Risk"/>
    <n v="1.3089430894308942"/>
  </r>
  <r>
    <s v="P1006"/>
    <x v="6"/>
    <x v="0"/>
    <s v="High"/>
    <x v="1"/>
    <s v="M67"/>
    <x v="1"/>
    <n v="14"/>
    <n v="163"/>
    <s v="High BP"/>
    <n v="291"/>
    <s v="No"/>
    <s v="Normal"/>
    <s v="LV Hypertrophy"/>
    <n v="137"/>
    <s v="Yes"/>
    <s v="No"/>
    <s v="No Risk"/>
    <n v="2.1240875912408761"/>
  </r>
  <r>
    <s v="P1007"/>
    <x v="7"/>
    <x v="6"/>
    <s v="Medium"/>
    <x v="1"/>
    <s v="M47"/>
    <x v="2"/>
    <n v="15"/>
    <n v="146"/>
    <s v="High BP"/>
    <n v="133"/>
    <s v="No"/>
    <s v="Normal"/>
    <s v="LV Hypertrophy"/>
    <n v="205"/>
    <s v="Yes"/>
    <s v="Yes"/>
    <s v="Medium Risk"/>
    <n v="0.64878048780487807"/>
  </r>
  <r>
    <s v="P1008"/>
    <x v="8"/>
    <x v="7"/>
    <s v="Medium"/>
    <x v="1"/>
    <s v="M51"/>
    <x v="0"/>
    <n v="11"/>
    <n v="144"/>
    <s v="High BP"/>
    <n v="197"/>
    <s v="No"/>
    <s v="Normal"/>
    <s v="ST-T Abnormality"/>
    <n v="145"/>
    <s v="Yes"/>
    <s v="Yes"/>
    <s v="Medium Risk"/>
    <n v="1.3586206896551725"/>
  </r>
  <r>
    <s v="P1009"/>
    <x v="9"/>
    <x v="8"/>
    <s v="Low"/>
    <x v="1"/>
    <s v="M39"/>
    <x v="0"/>
    <n v="11"/>
    <n v="136"/>
    <s v="Pre-High BP"/>
    <n v="121"/>
    <s v="No"/>
    <s v="Normal"/>
    <s v="ST-T Abnormality"/>
    <n v="165"/>
    <s v="Yes"/>
    <s v="No"/>
    <s v="No Risk"/>
    <n v="0.73333333333333328"/>
  </r>
  <r>
    <s v="P1010"/>
    <x v="10"/>
    <x v="8"/>
    <s v="Low"/>
    <x v="1"/>
    <s v="M39"/>
    <x v="3"/>
    <n v="12"/>
    <n v="101"/>
    <s v="Normal"/>
    <n v="238"/>
    <s v="No"/>
    <s v="Normal"/>
    <s v="ST-T Abnormality"/>
    <n v="191"/>
    <s v="No"/>
    <s v="No"/>
    <s v="No Risk"/>
    <n v="1.2460732984293195"/>
  </r>
  <r>
    <s v="P1011"/>
    <x v="11"/>
    <x v="9"/>
    <s v="Medium"/>
    <x v="1"/>
    <s v="M52"/>
    <x v="1"/>
    <n v="14"/>
    <n v="151"/>
    <s v="High BP"/>
    <n v="156"/>
    <s v="Yes"/>
    <s v="Diabetic Risk"/>
    <s v="LV Hypertrophy"/>
    <n v="154"/>
    <s v="No"/>
    <s v="Yes"/>
    <s v="Medium Risk"/>
    <n v="1.0129870129870129"/>
  </r>
  <r>
    <s v="P1012"/>
    <x v="12"/>
    <x v="10"/>
    <s v="High"/>
    <x v="1"/>
    <s v="M64"/>
    <x v="0"/>
    <n v="11"/>
    <n v="169"/>
    <s v="High BP"/>
    <n v="188"/>
    <s v="Yes"/>
    <s v="Diabetic Risk"/>
    <s v="ST-T Abnormality"/>
    <n v="120"/>
    <s v="No"/>
    <s v="Yes"/>
    <s v="High Risk"/>
    <n v="1.5666666666666667"/>
  </r>
  <r>
    <s v="P1013"/>
    <x v="13"/>
    <x v="11"/>
    <s v="High"/>
    <x v="0"/>
    <s v="F68"/>
    <x v="0"/>
    <n v="11"/>
    <n v="177"/>
    <s v="High BP"/>
    <n v="285"/>
    <s v="No"/>
    <s v="Normal"/>
    <s v="Normal"/>
    <n v="93"/>
    <s v="Yes"/>
    <s v="Yes"/>
    <s v="High Risk"/>
    <n v="3.064516129032258"/>
  </r>
  <r>
    <s v="P1014"/>
    <x v="14"/>
    <x v="9"/>
    <s v="Medium"/>
    <x v="1"/>
    <s v="M52"/>
    <x v="1"/>
    <n v="14"/>
    <n v="172"/>
    <s v="High BP"/>
    <n v="160"/>
    <s v="No"/>
    <s v="Normal"/>
    <s v="Normal"/>
    <n v="202"/>
    <s v="Yes"/>
    <s v="No"/>
    <s v="No Risk"/>
    <n v="0.79207920792079212"/>
  </r>
  <r>
    <s v="P1015"/>
    <x v="15"/>
    <x v="12"/>
    <s v="Low"/>
    <x v="1"/>
    <s v="M31"/>
    <x v="2"/>
    <n v="15"/>
    <n v="97"/>
    <s v="Normal"/>
    <n v="181"/>
    <s v="No"/>
    <s v="Normal"/>
    <s v="ST-T Abnormality"/>
    <n v="198"/>
    <s v="No"/>
    <s v="Yes"/>
    <s v="No Risk"/>
    <n v="0.91414141414141414"/>
  </r>
  <r>
    <s v="P1016"/>
    <x v="16"/>
    <x v="13"/>
    <s v="Medium"/>
    <x v="0"/>
    <s v="F50"/>
    <x v="2"/>
    <n v="15"/>
    <n v="184"/>
    <s v="High BP"/>
    <n v="179"/>
    <s v="Yes"/>
    <s v="Diabetic Risk"/>
    <s v="Normal"/>
    <n v="139"/>
    <s v="Yes"/>
    <s v="Yes"/>
    <s v="Medium Risk"/>
    <n v="1.2877697841726619"/>
  </r>
  <r>
    <s v="P1017"/>
    <x v="17"/>
    <x v="14"/>
    <s v="Low"/>
    <x v="0"/>
    <s v="F30"/>
    <x v="3"/>
    <n v="12"/>
    <n v="110"/>
    <s v="Normal"/>
    <n v="244"/>
    <s v="No"/>
    <s v="Normal"/>
    <s v="Normal"/>
    <n v="158"/>
    <s v="No"/>
    <s v="No"/>
    <s v="No Risk"/>
    <n v="1.5443037974683544"/>
  </r>
  <r>
    <s v="P1018"/>
    <x v="18"/>
    <x v="9"/>
    <s v="Medium"/>
    <x v="0"/>
    <s v="F52"/>
    <x v="2"/>
    <n v="15"/>
    <n v="170"/>
    <s v="High BP"/>
    <n v="230"/>
    <s v="Yes"/>
    <s v="Diabetic Risk"/>
    <s v="LV Hypertrophy"/>
    <n v="119"/>
    <s v="No"/>
    <s v="No"/>
    <s v="No Risk"/>
    <n v="1.9327731092436975"/>
  </r>
  <r>
    <s v="P1019"/>
    <x v="19"/>
    <x v="15"/>
    <s v="High"/>
    <x v="1"/>
    <s v="M72"/>
    <x v="1"/>
    <n v="14"/>
    <n v="176"/>
    <s v="High BP"/>
    <n v="133"/>
    <s v="No"/>
    <s v="Normal"/>
    <s v="ST-T Abnormality"/>
    <n v="209"/>
    <s v="No"/>
    <s v="Yes"/>
    <s v="High Risk"/>
    <n v="0.63636363636363635"/>
  </r>
  <r>
    <s v="P1020"/>
    <x v="20"/>
    <x v="16"/>
    <s v="Medium"/>
    <x v="0"/>
    <s v="F58"/>
    <x v="0"/>
    <n v="11"/>
    <n v="169"/>
    <s v="High BP"/>
    <n v="336"/>
    <s v="No"/>
    <s v="Normal"/>
    <s v="ST-T Abnormality"/>
    <n v="177"/>
    <s v="No"/>
    <s v="No"/>
    <s v="No Risk"/>
    <n v="1.8983050847457628"/>
  </r>
  <r>
    <s v="P1021"/>
    <x v="21"/>
    <x v="17"/>
    <s v="High"/>
    <x v="1"/>
    <s v="M66"/>
    <x v="2"/>
    <n v="15"/>
    <n v="159"/>
    <s v="High BP"/>
    <n v="203"/>
    <s v="Yes"/>
    <s v="Diabetic Risk"/>
    <s v="LV Hypertrophy"/>
    <n v="148"/>
    <s v="No"/>
    <s v="No"/>
    <s v="No Risk"/>
    <n v="1.3716216216216217"/>
  </r>
  <r>
    <s v="P1022"/>
    <x v="22"/>
    <x v="14"/>
    <s v="Low"/>
    <x v="1"/>
    <s v="M30"/>
    <x v="3"/>
    <n v="12"/>
    <n v="161"/>
    <s v="High BP"/>
    <n v="249"/>
    <s v="Yes"/>
    <s v="Diabetic Risk"/>
    <s v="Normal"/>
    <n v="156"/>
    <s v="Yes"/>
    <s v="Yes"/>
    <s v="No Risk"/>
    <n v="1.5961538461538463"/>
  </r>
  <r>
    <s v="P1023"/>
    <x v="23"/>
    <x v="5"/>
    <s v="Medium"/>
    <x v="1"/>
    <s v="M49"/>
    <x v="2"/>
    <n v="15"/>
    <n v="114"/>
    <s v="Normal"/>
    <n v="189"/>
    <s v="No"/>
    <s v="Normal"/>
    <s v="Normal"/>
    <n v="164"/>
    <s v="Yes"/>
    <s v="No"/>
    <s v="No Risk"/>
    <n v="1.1524390243902438"/>
  </r>
  <r>
    <s v="P1024"/>
    <x v="24"/>
    <x v="18"/>
    <s v="High"/>
    <x v="1"/>
    <s v="M61"/>
    <x v="1"/>
    <n v="14"/>
    <n v="171"/>
    <s v="High BP"/>
    <n v="264"/>
    <s v="No"/>
    <s v="Normal"/>
    <s v="ST-T Abnormality"/>
    <n v="134"/>
    <s v="Yes"/>
    <s v="No"/>
    <s v="No Risk"/>
    <n v="1.9701492537313432"/>
  </r>
  <r>
    <s v="P1025"/>
    <x v="25"/>
    <x v="19"/>
    <s v="Low"/>
    <x v="0"/>
    <s v="F40"/>
    <x v="3"/>
    <n v="12"/>
    <n v="178"/>
    <s v="High BP"/>
    <n v="242"/>
    <s v="No"/>
    <s v="Normal"/>
    <s v="Normal"/>
    <n v="93"/>
    <s v="No"/>
    <s v="Yes"/>
    <s v="No Risk"/>
    <n v="2.6021505376344085"/>
  </r>
  <r>
    <s v="P1026"/>
    <x v="26"/>
    <x v="13"/>
    <s v="Medium"/>
    <x v="0"/>
    <s v="F50"/>
    <x v="2"/>
    <n v="15"/>
    <n v="101"/>
    <s v="Normal"/>
    <n v="208"/>
    <s v="Yes"/>
    <s v="Diabetic Risk"/>
    <s v="LV Hypertrophy"/>
    <n v="115"/>
    <s v="No"/>
    <s v="No"/>
    <s v="No Risk"/>
    <n v="1.808695652173913"/>
  </r>
  <r>
    <s v="P1027"/>
    <x v="27"/>
    <x v="15"/>
    <s v="High"/>
    <x v="1"/>
    <s v="M72"/>
    <x v="3"/>
    <n v="12"/>
    <n v="104"/>
    <s v="Normal"/>
    <n v="147"/>
    <s v="Yes"/>
    <s v="Diabetic Risk"/>
    <s v="LV Hypertrophy"/>
    <n v="116"/>
    <s v="No"/>
    <s v="Yes"/>
    <s v="High Risk"/>
    <n v="1.2672413793103448"/>
  </r>
  <r>
    <s v="P1028"/>
    <x v="28"/>
    <x v="20"/>
    <s v="Medium"/>
    <x v="1"/>
    <s v="M53"/>
    <x v="1"/>
    <n v="14"/>
    <n v="148"/>
    <s v="High BP"/>
    <n v="185"/>
    <s v="Yes"/>
    <s v="Diabetic Risk"/>
    <s v="ST-T Abnormality"/>
    <n v="135"/>
    <s v="No"/>
    <s v="Yes"/>
    <s v="Medium Risk"/>
    <n v="1.3703703703703705"/>
  </r>
  <r>
    <s v="P1029"/>
    <x v="29"/>
    <x v="21"/>
    <s v="High"/>
    <x v="1"/>
    <s v="M77"/>
    <x v="0"/>
    <n v="11"/>
    <n v="115"/>
    <s v="Normal"/>
    <n v="282"/>
    <s v="Yes"/>
    <s v="Diabetic Risk"/>
    <s v="LV Hypertrophy"/>
    <n v="207"/>
    <s v="Yes"/>
    <s v="No"/>
    <s v="No Risk"/>
    <n v="1.3623188405797102"/>
  </r>
  <r>
    <s v="P1030"/>
    <x v="30"/>
    <x v="22"/>
    <s v="Medium"/>
    <x v="0"/>
    <s v="F55"/>
    <x v="1"/>
    <n v="14"/>
    <n v="115"/>
    <s v="Normal"/>
    <n v="348"/>
    <s v="Yes"/>
    <s v="Diabetic Risk"/>
    <s v="LV Hypertrophy"/>
    <n v="196"/>
    <s v="Yes"/>
    <s v="No"/>
    <s v="No Risk"/>
    <n v="1.7755102040816326"/>
  </r>
  <r>
    <s v="P1031"/>
    <x v="31"/>
    <x v="23"/>
    <s v="High"/>
    <x v="1"/>
    <s v="M70"/>
    <x v="1"/>
    <n v="14"/>
    <n v="136"/>
    <s v="Pre-High BP"/>
    <n v="124"/>
    <s v="Yes"/>
    <s v="Diabetic Risk"/>
    <s v="ST-T Abnormality"/>
    <n v="153"/>
    <s v="No"/>
    <s v="No"/>
    <s v="No Risk"/>
    <n v="0.81045751633986929"/>
  </r>
  <r>
    <s v="P1032"/>
    <x v="32"/>
    <x v="24"/>
    <s v="Medium"/>
    <x v="1"/>
    <s v="M56"/>
    <x v="1"/>
    <n v="14"/>
    <n v="121"/>
    <s v="Pre-High BP"/>
    <n v="312"/>
    <s v="No"/>
    <s v="Normal"/>
    <s v="LV Hypertrophy"/>
    <n v="180"/>
    <s v="No"/>
    <s v="Yes"/>
    <s v="Medium Risk"/>
    <n v="1.7333333333333334"/>
  </r>
  <r>
    <s v="P1033"/>
    <x v="33"/>
    <x v="1"/>
    <s v="Low"/>
    <x v="0"/>
    <s v="F44"/>
    <x v="1"/>
    <n v="14"/>
    <n v="99"/>
    <s v="Normal"/>
    <n v="287"/>
    <s v="No"/>
    <s v="Normal"/>
    <s v="LV Hypertrophy"/>
    <n v="195"/>
    <s v="No"/>
    <s v="No"/>
    <s v="No Risk"/>
    <n v="1.4717948717948719"/>
  </r>
  <r>
    <s v="P1034"/>
    <x v="34"/>
    <x v="2"/>
    <s v="Low"/>
    <x v="0"/>
    <s v="F43"/>
    <x v="0"/>
    <n v="11"/>
    <n v="105"/>
    <s v="Normal"/>
    <n v="323"/>
    <s v="Yes"/>
    <s v="Diabetic Risk"/>
    <s v="LV Hypertrophy"/>
    <n v="140"/>
    <s v="Yes"/>
    <s v="Yes"/>
    <s v="No Risk"/>
    <n v="2.3071428571428569"/>
  </r>
  <r>
    <s v="P1035"/>
    <x v="35"/>
    <x v="25"/>
    <s v="High"/>
    <x v="1"/>
    <s v="M75"/>
    <x v="0"/>
    <n v="11"/>
    <n v="160"/>
    <s v="High BP"/>
    <n v="303"/>
    <s v="No"/>
    <s v="Normal"/>
    <s v="Normal"/>
    <n v="139"/>
    <s v="Yes"/>
    <s v="No"/>
    <s v="No Risk"/>
    <n v="2.1798561151079139"/>
  </r>
  <r>
    <s v="P1036"/>
    <x v="36"/>
    <x v="26"/>
    <s v="High"/>
    <x v="0"/>
    <s v="F79"/>
    <x v="3"/>
    <n v="12"/>
    <n v="106"/>
    <s v="Normal"/>
    <n v="283"/>
    <s v="No"/>
    <s v="Normal"/>
    <s v="ST-T Abnormality"/>
    <n v="95"/>
    <s v="Yes"/>
    <s v="No"/>
    <s v="No Risk"/>
    <n v="2.9789473684210526"/>
  </r>
  <r>
    <s v="P1037"/>
    <x v="37"/>
    <x v="15"/>
    <s v="High"/>
    <x v="0"/>
    <s v="F72"/>
    <x v="2"/>
    <n v="15"/>
    <n v="112"/>
    <s v="Normal"/>
    <n v="164"/>
    <s v="Yes"/>
    <s v="Diabetic Risk"/>
    <s v="ST-T Abnormality"/>
    <n v="148"/>
    <s v="No"/>
    <s v="No"/>
    <s v="No Risk"/>
    <n v="1.1081081081081081"/>
  </r>
  <r>
    <s v="P1038"/>
    <x v="38"/>
    <x v="12"/>
    <s v="Low"/>
    <x v="1"/>
    <s v="M31"/>
    <x v="0"/>
    <n v="11"/>
    <n v="115"/>
    <s v="Normal"/>
    <n v="270"/>
    <s v="No"/>
    <s v="Normal"/>
    <s v="ST-T Abnormality"/>
    <n v="104"/>
    <s v="No"/>
    <s v="Yes"/>
    <s v="No Risk"/>
    <n v="2.5961538461538463"/>
  </r>
  <r>
    <s v="P1039"/>
    <x v="39"/>
    <x v="27"/>
    <s v="High"/>
    <x v="0"/>
    <s v="F65"/>
    <x v="0"/>
    <n v="11"/>
    <n v="174"/>
    <s v="High BP"/>
    <n v="166"/>
    <s v="Yes"/>
    <s v="Diabetic Risk"/>
    <s v="Normal"/>
    <n v="206"/>
    <s v="Yes"/>
    <s v="No"/>
    <s v="No Risk"/>
    <n v="0.80582524271844658"/>
  </r>
  <r>
    <s v="P1040"/>
    <x v="40"/>
    <x v="26"/>
    <s v="High"/>
    <x v="1"/>
    <s v="M79"/>
    <x v="2"/>
    <n v="15"/>
    <n v="175"/>
    <s v="High BP"/>
    <n v="150"/>
    <s v="Yes"/>
    <s v="Diabetic Risk"/>
    <s v="Normal"/>
    <n v="119"/>
    <s v="No"/>
    <s v="No"/>
    <s v="No Risk"/>
    <n v="1.2605042016806722"/>
  </r>
  <r>
    <s v="P1041"/>
    <x v="41"/>
    <x v="28"/>
    <s v="Low"/>
    <x v="0"/>
    <s v="F35"/>
    <x v="0"/>
    <n v="11"/>
    <n v="96"/>
    <s v="Normal"/>
    <n v="258"/>
    <s v="No"/>
    <s v="Normal"/>
    <s v="ST-T Abnormality"/>
    <n v="131"/>
    <s v="Yes"/>
    <s v="Yes"/>
    <s v="No Risk"/>
    <n v="1.9694656488549618"/>
  </r>
  <r>
    <s v="P1042"/>
    <x v="42"/>
    <x v="5"/>
    <s v="Medium"/>
    <x v="1"/>
    <s v="M49"/>
    <x v="1"/>
    <n v="14"/>
    <n v="103"/>
    <s v="Normal"/>
    <n v="129"/>
    <s v="Yes"/>
    <s v="Diabetic Risk"/>
    <s v="Normal"/>
    <n v="190"/>
    <s v="No"/>
    <s v="Yes"/>
    <s v="Medium Risk"/>
    <n v="0.67894736842105263"/>
  </r>
  <r>
    <s v="P1043"/>
    <x v="43"/>
    <x v="29"/>
    <s v="Low"/>
    <x v="1"/>
    <s v="M37"/>
    <x v="1"/>
    <n v="14"/>
    <n v="168"/>
    <s v="High BP"/>
    <n v="314"/>
    <s v="Yes"/>
    <s v="Diabetic Risk"/>
    <s v="ST-T Abnormality"/>
    <n v="126"/>
    <s v="Yes"/>
    <s v="No"/>
    <s v="No Risk"/>
    <n v="2.4920634920634921"/>
  </r>
  <r>
    <s v="P1044"/>
    <x v="44"/>
    <x v="0"/>
    <s v="High"/>
    <x v="1"/>
    <s v="M67"/>
    <x v="2"/>
    <n v="15"/>
    <n v="96"/>
    <s v="Normal"/>
    <n v="237"/>
    <s v="Yes"/>
    <s v="Diabetic Risk"/>
    <s v="Normal"/>
    <n v="131"/>
    <s v="No"/>
    <s v="No"/>
    <s v="No Risk"/>
    <n v="1.8091603053435115"/>
  </r>
  <r>
    <s v="P1045"/>
    <x v="45"/>
    <x v="30"/>
    <s v="Medium"/>
    <x v="0"/>
    <s v="F46"/>
    <x v="3"/>
    <n v="12"/>
    <n v="98"/>
    <s v="Normal"/>
    <n v="133"/>
    <s v="Yes"/>
    <s v="Diabetic Risk"/>
    <s v="LV Hypertrophy"/>
    <n v="190"/>
    <s v="Yes"/>
    <s v="No"/>
    <s v="No Risk"/>
    <n v="0.7"/>
  </r>
  <r>
    <s v="P1046"/>
    <x v="46"/>
    <x v="31"/>
    <s v="Low"/>
    <x v="1"/>
    <s v="M32"/>
    <x v="3"/>
    <n v="12"/>
    <n v="137"/>
    <s v="Pre-High BP"/>
    <n v="199"/>
    <s v="Yes"/>
    <s v="Diabetic Risk"/>
    <s v="LV Hypertrophy"/>
    <n v="124"/>
    <s v="Yes"/>
    <s v="Yes"/>
    <s v="No Risk"/>
    <n v="1.6048387096774193"/>
  </r>
  <r>
    <s v="P1047"/>
    <x v="47"/>
    <x v="20"/>
    <s v="Medium"/>
    <x v="0"/>
    <s v="F53"/>
    <x v="2"/>
    <n v="15"/>
    <n v="161"/>
    <s v="High BP"/>
    <n v="321"/>
    <s v="Yes"/>
    <s v="Diabetic Risk"/>
    <s v="ST-T Abnormality"/>
    <n v="176"/>
    <s v="Yes"/>
    <s v="Yes"/>
    <s v="Medium Risk"/>
    <n v="1.8238636363636365"/>
  </r>
  <r>
    <s v="P1048"/>
    <x v="48"/>
    <x v="32"/>
    <s v="Low"/>
    <x v="1"/>
    <s v="M42"/>
    <x v="2"/>
    <n v="15"/>
    <n v="148"/>
    <s v="High BP"/>
    <n v="212"/>
    <s v="Yes"/>
    <s v="Diabetic Risk"/>
    <s v="Normal"/>
    <n v="95"/>
    <s v="Yes"/>
    <s v="Yes"/>
    <s v="No Risk"/>
    <n v="2.2315789473684209"/>
  </r>
  <r>
    <s v="P1049"/>
    <x v="49"/>
    <x v="33"/>
    <s v="High"/>
    <x v="1"/>
    <s v="M78"/>
    <x v="1"/>
    <n v="14"/>
    <n v="176"/>
    <s v="High BP"/>
    <n v="129"/>
    <s v="Yes"/>
    <s v="Diabetic Risk"/>
    <s v="Normal"/>
    <n v="157"/>
    <s v="Yes"/>
    <s v="Yes"/>
    <s v="High Risk"/>
    <n v="0.82165605095541405"/>
  </r>
  <r>
    <s v="P1050"/>
    <x v="50"/>
    <x v="29"/>
    <s v="Low"/>
    <x v="0"/>
    <s v="F37"/>
    <x v="3"/>
    <n v="12"/>
    <n v="182"/>
    <s v="High BP"/>
    <n v="195"/>
    <s v="No"/>
    <s v="Normal"/>
    <s v="LV Hypertrophy"/>
    <n v="107"/>
    <s v="Yes"/>
    <s v="No"/>
    <s v="No Risk"/>
    <n v="1.8224299065420562"/>
  </r>
  <r>
    <s v="P1051"/>
    <x v="51"/>
    <x v="34"/>
    <s v="Medium"/>
    <x v="1"/>
    <s v="M54"/>
    <x v="0"/>
    <n v="11"/>
    <n v="171"/>
    <s v="High BP"/>
    <n v="213"/>
    <s v="No"/>
    <s v="Normal"/>
    <s v="LV Hypertrophy"/>
    <n v="162"/>
    <s v="No"/>
    <s v="Yes"/>
    <s v="Medium Risk"/>
    <n v="1.3148148148148149"/>
  </r>
  <r>
    <s v="P1052"/>
    <x v="52"/>
    <x v="14"/>
    <s v="Low"/>
    <x v="1"/>
    <s v="M30"/>
    <x v="1"/>
    <n v="14"/>
    <n v="184"/>
    <s v="High BP"/>
    <n v="224"/>
    <s v="No"/>
    <s v="Normal"/>
    <s v="Normal"/>
    <n v="202"/>
    <s v="No"/>
    <s v="Yes"/>
    <s v="No Risk"/>
    <n v="1.108910891089109"/>
  </r>
  <r>
    <s v="P1053"/>
    <x v="53"/>
    <x v="35"/>
    <s v="Medium"/>
    <x v="0"/>
    <s v="F48"/>
    <x v="2"/>
    <n v="15"/>
    <n v="183"/>
    <s v="High BP"/>
    <n v="120"/>
    <s v="Yes"/>
    <s v="Diabetic Risk"/>
    <s v="Normal"/>
    <n v="118"/>
    <s v="No"/>
    <s v="Yes"/>
    <s v="Medium Risk"/>
    <n v="1.0169491525423728"/>
  </r>
  <r>
    <s v="P1054"/>
    <x v="54"/>
    <x v="24"/>
    <s v="Medium"/>
    <x v="1"/>
    <s v="M56"/>
    <x v="3"/>
    <n v="12"/>
    <n v="128"/>
    <s v="Pre-High BP"/>
    <n v="252"/>
    <s v="Yes"/>
    <s v="Diabetic Risk"/>
    <s v="Normal"/>
    <n v="166"/>
    <s v="Yes"/>
    <s v="No"/>
    <s v="No Risk"/>
    <n v="1.5180722891566265"/>
  </r>
  <r>
    <s v="P1055"/>
    <x v="55"/>
    <x v="25"/>
    <s v="High"/>
    <x v="1"/>
    <s v="M75"/>
    <x v="0"/>
    <n v="11"/>
    <n v="188"/>
    <s v="High BP"/>
    <n v="139"/>
    <s v="No"/>
    <s v="Normal"/>
    <s v="Normal"/>
    <n v="148"/>
    <s v="Yes"/>
    <s v="No"/>
    <s v="No Risk"/>
    <n v="0.93918918918918914"/>
  </r>
  <r>
    <s v="P1056"/>
    <x v="56"/>
    <x v="28"/>
    <s v="Low"/>
    <x v="1"/>
    <s v="M35"/>
    <x v="0"/>
    <n v="11"/>
    <n v="107"/>
    <s v="Normal"/>
    <n v="127"/>
    <s v="No"/>
    <s v="Normal"/>
    <s v="Normal"/>
    <n v="136"/>
    <s v="No"/>
    <s v="Yes"/>
    <s v="No Risk"/>
    <n v="0.93382352941176472"/>
  </r>
  <r>
    <s v="P1057"/>
    <x v="57"/>
    <x v="15"/>
    <s v="High"/>
    <x v="1"/>
    <s v="M72"/>
    <x v="1"/>
    <n v="14"/>
    <n v="148"/>
    <s v="High BP"/>
    <n v="290"/>
    <s v="No"/>
    <s v="Normal"/>
    <s v="Normal"/>
    <n v="205"/>
    <s v="Yes"/>
    <s v="Yes"/>
    <s v="High Risk"/>
    <n v="1.4146341463414633"/>
  </r>
  <r>
    <s v="P1058"/>
    <x v="58"/>
    <x v="4"/>
    <s v="Low"/>
    <x v="0"/>
    <s v="F36"/>
    <x v="3"/>
    <n v="12"/>
    <n v="106"/>
    <s v="Normal"/>
    <n v="323"/>
    <s v="Yes"/>
    <s v="Diabetic Risk"/>
    <s v="ST-T Abnormality"/>
    <n v="106"/>
    <s v="Yes"/>
    <s v="No"/>
    <s v="No Risk"/>
    <n v="3.0471698113207548"/>
  </r>
  <r>
    <s v="P1059"/>
    <x v="59"/>
    <x v="25"/>
    <s v="High"/>
    <x v="0"/>
    <s v="F75"/>
    <x v="3"/>
    <n v="12"/>
    <n v="103"/>
    <s v="Normal"/>
    <n v="120"/>
    <s v="No"/>
    <s v="Normal"/>
    <s v="Normal"/>
    <n v="198"/>
    <s v="Yes"/>
    <s v="No"/>
    <s v="No Risk"/>
    <n v="0.60606060606060608"/>
  </r>
  <r>
    <s v="P1060"/>
    <x v="60"/>
    <x v="36"/>
    <s v="High"/>
    <x v="1"/>
    <s v="M63"/>
    <x v="2"/>
    <n v="15"/>
    <n v="120"/>
    <s v="Normal"/>
    <n v="176"/>
    <s v="No"/>
    <s v="Normal"/>
    <s v="LV Hypertrophy"/>
    <n v="185"/>
    <s v="Yes"/>
    <s v="No"/>
    <s v="No Risk"/>
    <n v="0.9513513513513514"/>
  </r>
  <r>
    <s v="P1061"/>
    <x v="61"/>
    <x v="32"/>
    <s v="Low"/>
    <x v="0"/>
    <s v="F42"/>
    <x v="3"/>
    <n v="12"/>
    <n v="113"/>
    <s v="Normal"/>
    <n v="183"/>
    <s v="Yes"/>
    <s v="Diabetic Risk"/>
    <s v="ST-T Abnormality"/>
    <n v="201"/>
    <s v="Yes"/>
    <s v="No"/>
    <s v="No Risk"/>
    <n v="0.91044776119402981"/>
  </r>
  <r>
    <s v="P1062"/>
    <x v="62"/>
    <x v="37"/>
    <s v="Medium"/>
    <x v="1"/>
    <s v="M45"/>
    <x v="3"/>
    <n v="12"/>
    <n v="188"/>
    <s v="High BP"/>
    <n v="237"/>
    <s v="No"/>
    <s v="Normal"/>
    <s v="Normal"/>
    <n v="111"/>
    <s v="No"/>
    <s v="No"/>
    <s v="No Risk"/>
    <n v="2.1351351351351351"/>
  </r>
  <r>
    <s v="P1063"/>
    <x v="63"/>
    <x v="10"/>
    <s v="High"/>
    <x v="0"/>
    <s v="F64"/>
    <x v="1"/>
    <n v="14"/>
    <n v="149"/>
    <s v="High BP"/>
    <n v="331"/>
    <s v="Yes"/>
    <s v="Diabetic Risk"/>
    <s v="LV Hypertrophy"/>
    <n v="157"/>
    <s v="No"/>
    <s v="No"/>
    <s v="No Risk"/>
    <n v="2.1082802547770703"/>
  </r>
  <r>
    <s v="P1064"/>
    <x v="64"/>
    <x v="33"/>
    <s v="High"/>
    <x v="1"/>
    <s v="M78"/>
    <x v="3"/>
    <n v="12"/>
    <n v="134"/>
    <s v="Pre-High BP"/>
    <n v="147"/>
    <s v="Yes"/>
    <s v="Diabetic Risk"/>
    <s v="ST-T Abnormality"/>
    <n v="158"/>
    <s v="No"/>
    <s v="No"/>
    <s v="No Risk"/>
    <n v="0.930379746835443"/>
  </r>
  <r>
    <s v="P1065"/>
    <x v="65"/>
    <x v="11"/>
    <s v="High"/>
    <x v="1"/>
    <s v="M68"/>
    <x v="0"/>
    <n v="11"/>
    <n v="187"/>
    <s v="High BP"/>
    <n v="240"/>
    <s v="Yes"/>
    <s v="Diabetic Risk"/>
    <s v="LV Hypertrophy"/>
    <n v="126"/>
    <s v="No"/>
    <s v="No"/>
    <s v="No Risk"/>
    <n v="1.9047619047619047"/>
  </r>
  <r>
    <s v="P1066"/>
    <x v="66"/>
    <x v="31"/>
    <s v="Low"/>
    <x v="1"/>
    <s v="M32"/>
    <x v="1"/>
    <n v="14"/>
    <n v="92"/>
    <s v="Normal"/>
    <n v="226"/>
    <s v="No"/>
    <s v="Normal"/>
    <s v="Normal"/>
    <n v="194"/>
    <s v="No"/>
    <s v="Yes"/>
    <s v="No Risk"/>
    <n v="1.1649484536082475"/>
  </r>
  <r>
    <s v="P1067"/>
    <x v="67"/>
    <x v="14"/>
    <s v="Low"/>
    <x v="1"/>
    <s v="M30"/>
    <x v="1"/>
    <n v="14"/>
    <n v="126"/>
    <s v="Pre-High BP"/>
    <n v="284"/>
    <s v="No"/>
    <s v="Normal"/>
    <s v="Normal"/>
    <n v="138"/>
    <s v="Yes"/>
    <s v="Yes"/>
    <s v="No Risk"/>
    <n v="2.0579710144927534"/>
  </r>
  <r>
    <s v="P1068"/>
    <x v="68"/>
    <x v="38"/>
    <s v="Low"/>
    <x v="1"/>
    <s v="M34"/>
    <x v="2"/>
    <n v="15"/>
    <n v="132"/>
    <s v="Pre-High BP"/>
    <n v="294"/>
    <s v="Yes"/>
    <s v="Diabetic Risk"/>
    <s v="Normal"/>
    <n v="102"/>
    <s v="Yes"/>
    <s v="Yes"/>
    <s v="No Risk"/>
    <n v="2.8823529411764706"/>
  </r>
  <r>
    <s v="P1069"/>
    <x v="69"/>
    <x v="23"/>
    <s v="High"/>
    <x v="1"/>
    <s v="M70"/>
    <x v="3"/>
    <n v="12"/>
    <n v="129"/>
    <s v="Pre-High BP"/>
    <n v="348"/>
    <s v="No"/>
    <s v="Normal"/>
    <s v="Normal"/>
    <n v="123"/>
    <s v="Yes"/>
    <s v="Yes"/>
    <s v="High Risk"/>
    <n v="2.8292682926829267"/>
  </r>
  <r>
    <s v="P1070"/>
    <x v="70"/>
    <x v="31"/>
    <s v="Low"/>
    <x v="0"/>
    <s v="F32"/>
    <x v="2"/>
    <n v="15"/>
    <n v="179"/>
    <s v="High BP"/>
    <n v="323"/>
    <s v="No"/>
    <s v="Normal"/>
    <s v="ST-T Abnormality"/>
    <n v="198"/>
    <s v="Yes"/>
    <s v="Yes"/>
    <s v="No Risk"/>
    <n v="1.6313131313131313"/>
  </r>
  <r>
    <s v="P1071"/>
    <x v="71"/>
    <x v="39"/>
    <s v="Medium"/>
    <x v="1"/>
    <s v="M57"/>
    <x v="0"/>
    <n v="11"/>
    <n v="144"/>
    <s v="High BP"/>
    <n v="284"/>
    <s v="No"/>
    <s v="Normal"/>
    <s v="ST-T Abnormality"/>
    <n v="175"/>
    <s v="No"/>
    <s v="Yes"/>
    <s v="Medium Risk"/>
    <n v="1.6228571428571428"/>
  </r>
  <r>
    <s v="P1072"/>
    <x v="72"/>
    <x v="30"/>
    <s v="Medium"/>
    <x v="0"/>
    <s v="F46"/>
    <x v="1"/>
    <n v="14"/>
    <n v="176"/>
    <s v="High BP"/>
    <n v="168"/>
    <s v="No"/>
    <s v="Normal"/>
    <s v="LV Hypertrophy"/>
    <n v="142"/>
    <s v="No"/>
    <s v="No"/>
    <s v="No Risk"/>
    <n v="1.1830985915492958"/>
  </r>
  <r>
    <s v="P1073"/>
    <x v="73"/>
    <x v="34"/>
    <s v="Medium"/>
    <x v="1"/>
    <s v="M54"/>
    <x v="1"/>
    <n v="14"/>
    <n v="128"/>
    <s v="Pre-High BP"/>
    <n v="239"/>
    <s v="Yes"/>
    <s v="Diabetic Risk"/>
    <s v="Normal"/>
    <n v="176"/>
    <s v="No"/>
    <s v="No"/>
    <s v="No Risk"/>
    <n v="1.3579545454545454"/>
  </r>
  <r>
    <s v="P1074"/>
    <x v="74"/>
    <x v="15"/>
    <s v="High"/>
    <x v="0"/>
    <s v="F72"/>
    <x v="1"/>
    <n v="14"/>
    <n v="104"/>
    <s v="Normal"/>
    <n v="163"/>
    <s v="No"/>
    <s v="Normal"/>
    <s v="LV Hypertrophy"/>
    <n v="140"/>
    <s v="Yes"/>
    <s v="Yes"/>
    <s v="High Risk"/>
    <n v="1.1642857142857144"/>
  </r>
  <r>
    <s v="P1075"/>
    <x v="75"/>
    <x v="40"/>
    <s v="High"/>
    <x v="0"/>
    <s v="F62"/>
    <x v="0"/>
    <n v="11"/>
    <n v="93"/>
    <s v="Normal"/>
    <n v="175"/>
    <s v="Yes"/>
    <s v="Diabetic Risk"/>
    <s v="ST-T Abnormality"/>
    <n v="92"/>
    <s v="No"/>
    <s v="Yes"/>
    <s v="High Risk"/>
    <n v="1.9021739130434783"/>
  </r>
  <r>
    <s v="P1076"/>
    <x v="76"/>
    <x v="41"/>
    <s v="Low"/>
    <x v="0"/>
    <s v="F38"/>
    <x v="0"/>
    <n v="11"/>
    <n v="182"/>
    <s v="High BP"/>
    <n v="275"/>
    <s v="Yes"/>
    <s v="Diabetic Risk"/>
    <s v="Normal"/>
    <n v="131"/>
    <s v="Yes"/>
    <s v="No"/>
    <s v="No Risk"/>
    <n v="2.0992366412213741"/>
  </r>
  <r>
    <s v="P1077"/>
    <x v="77"/>
    <x v="10"/>
    <s v="High"/>
    <x v="1"/>
    <s v="M64"/>
    <x v="2"/>
    <n v="15"/>
    <n v="175"/>
    <s v="High BP"/>
    <n v="230"/>
    <s v="No"/>
    <s v="Normal"/>
    <s v="Normal"/>
    <n v="187"/>
    <s v="No"/>
    <s v="No"/>
    <s v="No Risk"/>
    <n v="1.2299465240641712"/>
  </r>
  <r>
    <s v="P1078"/>
    <x v="78"/>
    <x v="32"/>
    <s v="Low"/>
    <x v="1"/>
    <s v="M42"/>
    <x v="2"/>
    <n v="15"/>
    <n v="114"/>
    <s v="Normal"/>
    <n v="326"/>
    <s v="Yes"/>
    <s v="Diabetic Risk"/>
    <s v="ST-T Abnormality"/>
    <n v="121"/>
    <s v="No"/>
    <s v="No"/>
    <s v="No Risk"/>
    <n v="2.6942148760330578"/>
  </r>
  <r>
    <s v="P1079"/>
    <x v="79"/>
    <x v="42"/>
    <s v="Medium"/>
    <x v="0"/>
    <s v="F59"/>
    <x v="2"/>
    <n v="15"/>
    <n v="102"/>
    <s v="Normal"/>
    <n v="253"/>
    <s v="No"/>
    <s v="Normal"/>
    <s v="ST-T Abnormality"/>
    <n v="198"/>
    <s v="Yes"/>
    <s v="Yes"/>
    <s v="Medium Risk"/>
    <n v="1.2777777777777777"/>
  </r>
  <r>
    <s v="P1080"/>
    <x v="80"/>
    <x v="43"/>
    <s v="High"/>
    <x v="1"/>
    <s v="M76"/>
    <x v="3"/>
    <n v="12"/>
    <n v="171"/>
    <s v="High BP"/>
    <n v="227"/>
    <s v="No"/>
    <s v="Normal"/>
    <s v="ST-T Abnormality"/>
    <n v="140"/>
    <s v="Yes"/>
    <s v="No"/>
    <s v="No Risk"/>
    <n v="1.6214285714285714"/>
  </r>
  <r>
    <s v="P1081"/>
    <x v="81"/>
    <x v="2"/>
    <s v="Low"/>
    <x v="0"/>
    <s v="F43"/>
    <x v="1"/>
    <n v="14"/>
    <n v="122"/>
    <s v="Pre-High BP"/>
    <n v="308"/>
    <s v="Yes"/>
    <s v="Diabetic Risk"/>
    <s v="ST-T Abnormality"/>
    <n v="202"/>
    <s v="No"/>
    <s v="Yes"/>
    <s v="No Risk"/>
    <n v="1.5247524752475248"/>
  </r>
  <r>
    <s v="P1082"/>
    <x v="82"/>
    <x v="4"/>
    <s v="Low"/>
    <x v="1"/>
    <s v="M36"/>
    <x v="1"/>
    <n v="14"/>
    <n v="105"/>
    <s v="Normal"/>
    <n v="267"/>
    <s v="Yes"/>
    <s v="Diabetic Risk"/>
    <s v="ST-T Abnormality"/>
    <n v="174"/>
    <s v="No"/>
    <s v="Yes"/>
    <s v="No Risk"/>
    <n v="1.5344827586206897"/>
  </r>
  <r>
    <s v="P1083"/>
    <x v="83"/>
    <x v="32"/>
    <s v="Low"/>
    <x v="0"/>
    <s v="F42"/>
    <x v="2"/>
    <n v="15"/>
    <n v="131"/>
    <s v="Pre-High BP"/>
    <n v="233"/>
    <s v="Yes"/>
    <s v="Diabetic Risk"/>
    <s v="Normal"/>
    <n v="135"/>
    <s v="Yes"/>
    <s v="No"/>
    <s v="No Risk"/>
    <n v="1.7259259259259259"/>
  </r>
  <r>
    <s v="P1084"/>
    <x v="84"/>
    <x v="7"/>
    <s v="Medium"/>
    <x v="0"/>
    <s v="F51"/>
    <x v="1"/>
    <n v="14"/>
    <n v="155"/>
    <s v="High BP"/>
    <n v="197"/>
    <s v="Yes"/>
    <s v="Diabetic Risk"/>
    <s v="ST-T Abnormality"/>
    <n v="197"/>
    <s v="No"/>
    <s v="No"/>
    <s v="No Risk"/>
    <n v="1"/>
  </r>
  <r>
    <s v="P1085"/>
    <x v="85"/>
    <x v="11"/>
    <s v="High"/>
    <x v="1"/>
    <s v="M68"/>
    <x v="2"/>
    <n v="15"/>
    <n v="144"/>
    <s v="High BP"/>
    <n v="249"/>
    <s v="No"/>
    <s v="Normal"/>
    <s v="Normal"/>
    <n v="110"/>
    <s v="No"/>
    <s v="Yes"/>
    <s v="High Risk"/>
    <n v="2.2636363636363637"/>
  </r>
  <r>
    <s v="P1086"/>
    <x v="86"/>
    <x v="5"/>
    <s v="Medium"/>
    <x v="0"/>
    <s v="F49"/>
    <x v="3"/>
    <n v="12"/>
    <n v="188"/>
    <s v="High BP"/>
    <n v="320"/>
    <s v="No"/>
    <s v="Normal"/>
    <s v="Normal"/>
    <n v="133"/>
    <s v="Yes"/>
    <s v="No"/>
    <s v="No Risk"/>
    <n v="2.4060150375939848"/>
  </r>
  <r>
    <s v="P1087"/>
    <x v="87"/>
    <x v="1"/>
    <s v="Low"/>
    <x v="1"/>
    <s v="M44"/>
    <x v="3"/>
    <n v="12"/>
    <n v="131"/>
    <s v="Pre-High BP"/>
    <n v="156"/>
    <s v="No"/>
    <s v="Normal"/>
    <s v="ST-T Abnormality"/>
    <n v="100"/>
    <s v="No"/>
    <s v="No"/>
    <s v="No Risk"/>
    <n v="1.56"/>
  </r>
  <r>
    <s v="P1088"/>
    <x v="88"/>
    <x v="44"/>
    <s v="High"/>
    <x v="0"/>
    <s v="F73"/>
    <x v="0"/>
    <n v="11"/>
    <n v="123"/>
    <s v="Pre-High BP"/>
    <n v="139"/>
    <s v="Yes"/>
    <s v="Diabetic Risk"/>
    <s v="ST-T Abnormality"/>
    <n v="192"/>
    <s v="Yes"/>
    <s v="Yes"/>
    <s v="High Risk"/>
    <n v="0.72395833333333337"/>
  </r>
  <r>
    <s v="P1089"/>
    <x v="89"/>
    <x v="30"/>
    <s v="Medium"/>
    <x v="0"/>
    <s v="F46"/>
    <x v="3"/>
    <n v="12"/>
    <n v="119"/>
    <s v="Normal"/>
    <n v="145"/>
    <s v="Yes"/>
    <s v="Diabetic Risk"/>
    <s v="Normal"/>
    <n v="157"/>
    <s v="No"/>
    <s v="No"/>
    <s v="No Risk"/>
    <n v="0.92356687898089174"/>
  </r>
  <r>
    <s v="P1090"/>
    <x v="90"/>
    <x v="25"/>
    <s v="High"/>
    <x v="1"/>
    <s v="M75"/>
    <x v="2"/>
    <n v="15"/>
    <n v="102"/>
    <s v="Normal"/>
    <n v="148"/>
    <s v="Yes"/>
    <s v="Diabetic Risk"/>
    <s v="ST-T Abnormality"/>
    <n v="204"/>
    <s v="Yes"/>
    <s v="Yes"/>
    <s v="High Risk"/>
    <n v="0.72549019607843135"/>
  </r>
  <r>
    <s v="P1091"/>
    <x v="91"/>
    <x v="9"/>
    <s v="Medium"/>
    <x v="1"/>
    <s v="M52"/>
    <x v="3"/>
    <n v="12"/>
    <n v="102"/>
    <s v="Normal"/>
    <n v="120"/>
    <s v="No"/>
    <s v="Normal"/>
    <s v="ST-T Abnormality"/>
    <n v="90"/>
    <s v="No"/>
    <s v="Yes"/>
    <s v="Medium Risk"/>
    <n v="1.3333333333333333"/>
  </r>
  <r>
    <s v="P1092"/>
    <x v="92"/>
    <x v="34"/>
    <s v="Medium"/>
    <x v="1"/>
    <s v="M54"/>
    <x v="0"/>
    <n v="11"/>
    <n v="107"/>
    <s v="Normal"/>
    <n v="238"/>
    <s v="Yes"/>
    <s v="Diabetic Risk"/>
    <s v="ST-T Abnormality"/>
    <n v="181"/>
    <s v="Yes"/>
    <s v="No"/>
    <s v="No Risk"/>
    <n v="1.3149171270718232"/>
  </r>
  <r>
    <s v="P1093"/>
    <x v="93"/>
    <x v="20"/>
    <s v="Medium"/>
    <x v="0"/>
    <s v="F53"/>
    <x v="1"/>
    <n v="14"/>
    <n v="121"/>
    <s v="Pre-High BP"/>
    <n v="154"/>
    <s v="No"/>
    <s v="Normal"/>
    <s v="LV Hypertrophy"/>
    <n v="152"/>
    <s v="No"/>
    <s v="Yes"/>
    <s v="Medium Risk"/>
    <n v="1.013157894736842"/>
  </r>
  <r>
    <s v="P1094"/>
    <x v="94"/>
    <x v="44"/>
    <s v="High"/>
    <x v="1"/>
    <s v="M73"/>
    <x v="2"/>
    <n v="15"/>
    <n v="185"/>
    <s v="High BP"/>
    <n v="317"/>
    <s v="Yes"/>
    <s v="Diabetic Risk"/>
    <s v="Normal"/>
    <n v="113"/>
    <s v="Yes"/>
    <s v="Yes"/>
    <s v="High Risk"/>
    <n v="2.8053097345132745"/>
  </r>
  <r>
    <s v="P1095"/>
    <x v="95"/>
    <x v="45"/>
    <s v="High"/>
    <x v="0"/>
    <s v="F69"/>
    <x v="1"/>
    <n v="14"/>
    <n v="188"/>
    <s v="High BP"/>
    <n v="348"/>
    <s v="No"/>
    <s v="Normal"/>
    <s v="LV Hypertrophy"/>
    <n v="188"/>
    <s v="No"/>
    <s v="No"/>
    <s v="No Risk"/>
    <n v="1.8510638297872339"/>
  </r>
  <r>
    <s v="P1096"/>
    <x v="96"/>
    <x v="39"/>
    <s v="Medium"/>
    <x v="0"/>
    <s v="F57"/>
    <x v="0"/>
    <n v="11"/>
    <n v="128"/>
    <s v="Pre-High BP"/>
    <n v="178"/>
    <s v="No"/>
    <s v="Normal"/>
    <s v="ST-T Abnormality"/>
    <n v="102"/>
    <s v="No"/>
    <s v="No"/>
    <s v="No Risk"/>
    <n v="1.7450980392156863"/>
  </r>
  <r>
    <s v="P1097"/>
    <x v="97"/>
    <x v="2"/>
    <s v="Low"/>
    <x v="1"/>
    <s v="M43"/>
    <x v="0"/>
    <n v="11"/>
    <n v="135"/>
    <s v="Pre-High BP"/>
    <n v="188"/>
    <s v="Yes"/>
    <s v="Diabetic Risk"/>
    <s v="LV Hypertrophy"/>
    <n v="200"/>
    <s v="No"/>
    <s v="No"/>
    <s v="No Risk"/>
    <n v="0.94"/>
  </r>
  <r>
    <s v="P1098"/>
    <x v="98"/>
    <x v="44"/>
    <s v="High"/>
    <x v="1"/>
    <s v="M73"/>
    <x v="0"/>
    <n v="11"/>
    <n v="118"/>
    <s v="Normal"/>
    <n v="280"/>
    <s v="Yes"/>
    <s v="Diabetic Risk"/>
    <s v="ST-T Abnormality"/>
    <n v="187"/>
    <s v="No"/>
    <s v="Yes"/>
    <s v="High Risk"/>
    <n v="1.4973262032085561"/>
  </r>
  <r>
    <s v="P1099"/>
    <x v="99"/>
    <x v="46"/>
    <e v="#N/A"/>
    <x v="0"/>
    <s v="F29"/>
    <x v="1"/>
    <n v="14"/>
    <n v="151"/>
    <s v="High BP"/>
    <n v="298"/>
    <s v="No"/>
    <s v="Normal"/>
    <s v="LV Hypertrophy"/>
    <n v="100"/>
    <s v="No"/>
    <s v="Yes"/>
    <s v="No Risk"/>
    <n v="2.98"/>
  </r>
  <r>
    <s v="P1100"/>
    <x v="100"/>
    <x v="20"/>
    <s v="Medium"/>
    <x v="0"/>
    <s v="F53"/>
    <x v="1"/>
    <n v="14"/>
    <n v="182"/>
    <s v="High BP"/>
    <n v="325"/>
    <s v="No"/>
    <s v="Normal"/>
    <s v="ST-T Abnormality"/>
    <n v="189"/>
    <s v="No"/>
    <s v="No"/>
    <s v="No Risk"/>
    <n v="1.7195767195767195"/>
  </r>
  <r>
    <s v="P1101"/>
    <x v="101"/>
    <x v="28"/>
    <s v="Low"/>
    <x v="1"/>
    <s v="M35"/>
    <x v="1"/>
    <n v="14"/>
    <n v="151"/>
    <s v="High BP"/>
    <n v="131"/>
    <s v="Yes"/>
    <s v="Diabetic Risk"/>
    <s v="LV Hypertrophy"/>
    <n v="140"/>
    <s v="No"/>
    <s v="Yes"/>
    <s v="No Risk"/>
    <n v="0.93571428571428572"/>
  </r>
  <r>
    <s v="P1102"/>
    <x v="102"/>
    <x v="29"/>
    <s v="Low"/>
    <x v="1"/>
    <s v="M37"/>
    <x v="1"/>
    <n v="14"/>
    <n v="146"/>
    <s v="High BP"/>
    <n v="139"/>
    <s v="Yes"/>
    <s v="Diabetic Risk"/>
    <s v="LV Hypertrophy"/>
    <n v="106"/>
    <s v="No"/>
    <s v="No"/>
    <s v="No Risk"/>
    <n v="1.3113207547169812"/>
  </r>
  <r>
    <s v="P1103"/>
    <x v="103"/>
    <x v="9"/>
    <s v="Medium"/>
    <x v="1"/>
    <s v="M52"/>
    <x v="0"/>
    <n v="11"/>
    <n v="105"/>
    <s v="Normal"/>
    <n v="300"/>
    <s v="No"/>
    <s v="Normal"/>
    <s v="LV Hypertrophy"/>
    <n v="188"/>
    <s v="No"/>
    <s v="No"/>
    <s v="No Risk"/>
    <n v="1.5957446808510638"/>
  </r>
  <r>
    <s v="P1104"/>
    <x v="104"/>
    <x v="46"/>
    <e v="#N/A"/>
    <x v="1"/>
    <s v="M29"/>
    <x v="0"/>
    <n v="11"/>
    <n v="145"/>
    <s v="High BP"/>
    <n v="335"/>
    <s v="Yes"/>
    <s v="Diabetic Risk"/>
    <s v="Normal"/>
    <n v="171"/>
    <s v="Yes"/>
    <s v="Yes"/>
    <s v="No Risk"/>
    <n v="1.9590643274853801"/>
  </r>
  <r>
    <s v="P1105"/>
    <x v="105"/>
    <x v="15"/>
    <s v="High"/>
    <x v="1"/>
    <s v="M72"/>
    <x v="2"/>
    <n v="15"/>
    <n v="99"/>
    <s v="Normal"/>
    <n v="162"/>
    <s v="No"/>
    <s v="Normal"/>
    <s v="LV Hypertrophy"/>
    <n v="193"/>
    <s v="Yes"/>
    <s v="No"/>
    <s v="No Risk"/>
    <n v="0.8393782383419689"/>
  </r>
  <r>
    <s v="P1106"/>
    <x v="106"/>
    <x v="4"/>
    <s v="Low"/>
    <x v="0"/>
    <s v="F36"/>
    <x v="2"/>
    <n v="15"/>
    <n v="119"/>
    <s v="Normal"/>
    <n v="245"/>
    <s v="No"/>
    <s v="Normal"/>
    <s v="Normal"/>
    <n v="175"/>
    <s v="No"/>
    <s v="Yes"/>
    <s v="No Risk"/>
    <n v="1.4"/>
  </r>
  <r>
    <s v="P1107"/>
    <x v="107"/>
    <x v="9"/>
    <s v="Medium"/>
    <x v="0"/>
    <s v="F52"/>
    <x v="1"/>
    <n v="14"/>
    <n v="114"/>
    <s v="Normal"/>
    <n v="345"/>
    <s v="Yes"/>
    <s v="Diabetic Risk"/>
    <s v="ST-T Abnormality"/>
    <n v="113"/>
    <s v="Yes"/>
    <s v="Yes"/>
    <s v="Medium Risk"/>
    <n v="3.0530973451327434"/>
  </r>
  <r>
    <s v="P1108"/>
    <x v="108"/>
    <x v="8"/>
    <s v="Low"/>
    <x v="0"/>
    <s v="F39"/>
    <x v="3"/>
    <n v="12"/>
    <n v="173"/>
    <s v="High BP"/>
    <n v="336"/>
    <s v="Yes"/>
    <s v="Diabetic Risk"/>
    <s v="LV Hypertrophy"/>
    <n v="108"/>
    <s v="No"/>
    <s v="No"/>
    <s v="No Risk"/>
    <n v="3.1111111111111112"/>
  </r>
  <r>
    <s v="P1109"/>
    <x v="109"/>
    <x v="26"/>
    <s v="High"/>
    <x v="0"/>
    <s v="F79"/>
    <x v="3"/>
    <n v="12"/>
    <n v="94"/>
    <s v="Normal"/>
    <n v="169"/>
    <s v="Yes"/>
    <s v="Diabetic Risk"/>
    <s v="ST-T Abnormality"/>
    <n v="126"/>
    <s v="No"/>
    <s v="Yes"/>
    <s v="High Risk"/>
    <n v="1.3412698412698412"/>
  </r>
  <r>
    <s v="P1110"/>
    <x v="110"/>
    <x v="37"/>
    <s v="Medium"/>
    <x v="1"/>
    <s v="M45"/>
    <x v="0"/>
    <n v="11"/>
    <n v="154"/>
    <s v="High BP"/>
    <n v="148"/>
    <s v="Yes"/>
    <s v="Diabetic Risk"/>
    <s v="ST-T Abnormality"/>
    <n v="192"/>
    <s v="Yes"/>
    <s v="No"/>
    <s v="No Risk"/>
    <n v="0.77083333333333337"/>
  </r>
  <r>
    <s v="P1111"/>
    <x v="111"/>
    <x v="4"/>
    <s v="Low"/>
    <x v="1"/>
    <s v="M36"/>
    <x v="0"/>
    <n v="11"/>
    <n v="183"/>
    <s v="High BP"/>
    <n v="304"/>
    <s v="Yes"/>
    <s v="Diabetic Risk"/>
    <s v="LV Hypertrophy"/>
    <n v="174"/>
    <s v="No"/>
    <s v="Yes"/>
    <s v="No Risk"/>
    <n v="1.7471264367816093"/>
  </r>
  <r>
    <s v="P1112"/>
    <x v="112"/>
    <x v="36"/>
    <s v="High"/>
    <x v="1"/>
    <s v="M63"/>
    <x v="0"/>
    <n v="11"/>
    <n v="138"/>
    <s v="Pre-High BP"/>
    <n v="158"/>
    <s v="No"/>
    <s v="Normal"/>
    <s v="Normal"/>
    <n v="97"/>
    <s v="No"/>
    <s v="Yes"/>
    <s v="High Risk"/>
    <n v="1.6288659793814433"/>
  </r>
  <r>
    <s v="P1113"/>
    <x v="113"/>
    <x v="36"/>
    <s v="High"/>
    <x v="0"/>
    <s v="F63"/>
    <x v="2"/>
    <n v="15"/>
    <n v="92"/>
    <s v="Normal"/>
    <n v="342"/>
    <s v="No"/>
    <s v="Normal"/>
    <s v="LV Hypertrophy"/>
    <n v="117"/>
    <s v="Yes"/>
    <s v="Yes"/>
    <s v="High Risk"/>
    <n v="2.9230769230769229"/>
  </r>
  <r>
    <s v="P1114"/>
    <x v="114"/>
    <x v="18"/>
    <s v="High"/>
    <x v="0"/>
    <s v="F61"/>
    <x v="2"/>
    <n v="15"/>
    <n v="134"/>
    <s v="Pre-High BP"/>
    <n v="303"/>
    <s v="Yes"/>
    <s v="Diabetic Risk"/>
    <s v="ST-T Abnormality"/>
    <n v="94"/>
    <s v="Yes"/>
    <s v="No"/>
    <s v="No Risk"/>
    <n v="3.2234042553191489"/>
  </r>
  <r>
    <s v="P1115"/>
    <x v="115"/>
    <x v="47"/>
    <s v="Low"/>
    <x v="1"/>
    <s v="M33"/>
    <x v="0"/>
    <n v="11"/>
    <n v="103"/>
    <s v="Normal"/>
    <n v="290"/>
    <s v="Yes"/>
    <s v="Diabetic Risk"/>
    <s v="ST-T Abnormality"/>
    <n v="106"/>
    <s v="No"/>
    <s v="Yes"/>
    <s v="No Risk"/>
    <n v="2.7358490566037736"/>
  </r>
  <r>
    <s v="P1116"/>
    <x v="116"/>
    <x v="23"/>
    <s v="High"/>
    <x v="1"/>
    <s v="M70"/>
    <x v="0"/>
    <n v="11"/>
    <n v="119"/>
    <s v="Normal"/>
    <n v="297"/>
    <s v="Yes"/>
    <s v="Diabetic Risk"/>
    <s v="LV Hypertrophy"/>
    <n v="190"/>
    <s v="Yes"/>
    <s v="No"/>
    <s v="No Risk"/>
    <n v="1.5631578947368421"/>
  </r>
  <r>
    <s v="P1117"/>
    <x v="117"/>
    <x v="0"/>
    <s v="High"/>
    <x v="0"/>
    <s v="F67"/>
    <x v="0"/>
    <n v="11"/>
    <n v="157"/>
    <s v="High BP"/>
    <n v="270"/>
    <s v="No"/>
    <s v="Normal"/>
    <s v="Normal"/>
    <n v="125"/>
    <s v="Yes"/>
    <s v="Yes"/>
    <s v="High Risk"/>
    <n v="2.16"/>
  </r>
  <r>
    <s v="P1118"/>
    <x v="118"/>
    <x v="45"/>
    <s v="High"/>
    <x v="0"/>
    <s v="F69"/>
    <x v="3"/>
    <n v="12"/>
    <n v="107"/>
    <s v="Normal"/>
    <n v="291"/>
    <s v="Yes"/>
    <s v="Diabetic Risk"/>
    <s v="Normal"/>
    <n v="207"/>
    <s v="No"/>
    <s v="Yes"/>
    <s v="High Risk"/>
    <n v="1.4057971014492754"/>
  </r>
  <r>
    <s v="P1119"/>
    <x v="119"/>
    <x v="24"/>
    <s v="Medium"/>
    <x v="1"/>
    <s v="M56"/>
    <x v="2"/>
    <n v="15"/>
    <n v="151"/>
    <s v="High BP"/>
    <n v="157"/>
    <s v="Yes"/>
    <s v="Diabetic Risk"/>
    <s v="ST-T Abnormality"/>
    <n v="108"/>
    <s v="Yes"/>
    <s v="No"/>
    <s v="No Risk"/>
    <n v="1.4537037037037037"/>
  </r>
  <r>
    <s v="P1120"/>
    <x v="120"/>
    <x v="28"/>
    <s v="Low"/>
    <x v="1"/>
    <s v="M35"/>
    <x v="3"/>
    <n v="12"/>
    <n v="126"/>
    <s v="Pre-High BP"/>
    <n v="203"/>
    <s v="No"/>
    <s v="Normal"/>
    <s v="ST-T Abnormality"/>
    <n v="153"/>
    <s v="Yes"/>
    <s v="No"/>
    <s v="No Risk"/>
    <n v="1.326797385620915"/>
  </r>
  <r>
    <s v="P1121"/>
    <x v="121"/>
    <x v="29"/>
    <s v="Low"/>
    <x v="0"/>
    <s v="F37"/>
    <x v="3"/>
    <n v="12"/>
    <n v="114"/>
    <s v="Normal"/>
    <n v="270"/>
    <s v="No"/>
    <s v="Normal"/>
    <s v="Normal"/>
    <n v="180"/>
    <s v="No"/>
    <s v="No"/>
    <s v="No Risk"/>
    <n v="1.5"/>
  </r>
  <r>
    <s v="P1122"/>
    <x v="122"/>
    <x v="4"/>
    <s v="Low"/>
    <x v="1"/>
    <s v="M36"/>
    <x v="0"/>
    <n v="11"/>
    <n v="137"/>
    <s v="Pre-High BP"/>
    <n v="247"/>
    <s v="Yes"/>
    <s v="Diabetic Risk"/>
    <s v="LV Hypertrophy"/>
    <n v="206"/>
    <s v="Yes"/>
    <s v="No"/>
    <s v="No Risk"/>
    <n v="1.1990291262135921"/>
  </r>
  <r>
    <s v="P1123"/>
    <x v="123"/>
    <x v="19"/>
    <s v="Low"/>
    <x v="1"/>
    <s v="M40"/>
    <x v="0"/>
    <n v="11"/>
    <n v="154"/>
    <s v="High BP"/>
    <n v="245"/>
    <s v="Yes"/>
    <s v="Diabetic Risk"/>
    <s v="ST-T Abnormality"/>
    <n v="187"/>
    <s v="Yes"/>
    <s v="No"/>
    <s v="No Risk"/>
    <n v="1.3101604278074865"/>
  </r>
  <r>
    <s v="P1124"/>
    <x v="124"/>
    <x v="40"/>
    <s v="High"/>
    <x v="1"/>
    <s v="M62"/>
    <x v="1"/>
    <n v="14"/>
    <n v="142"/>
    <s v="High BP"/>
    <n v="164"/>
    <s v="Yes"/>
    <s v="Diabetic Risk"/>
    <s v="Normal"/>
    <n v="100"/>
    <s v="No"/>
    <s v="Yes"/>
    <s v="High Risk"/>
    <n v="1.64"/>
  </r>
  <r>
    <s v="P1125"/>
    <x v="125"/>
    <x v="18"/>
    <s v="High"/>
    <x v="0"/>
    <s v="F61"/>
    <x v="1"/>
    <n v="14"/>
    <n v="168"/>
    <s v="High BP"/>
    <n v="171"/>
    <s v="No"/>
    <s v="Normal"/>
    <s v="ST-T Abnormality"/>
    <n v="143"/>
    <s v="No"/>
    <s v="Yes"/>
    <s v="High Risk"/>
    <n v="1.1958041958041958"/>
  </r>
  <r>
    <s v="P1126"/>
    <x v="126"/>
    <x v="43"/>
    <s v="High"/>
    <x v="0"/>
    <s v="F76"/>
    <x v="3"/>
    <n v="12"/>
    <n v="162"/>
    <s v="High BP"/>
    <n v="199"/>
    <s v="Yes"/>
    <s v="Diabetic Risk"/>
    <s v="LV Hypertrophy"/>
    <n v="134"/>
    <s v="No"/>
    <s v="No"/>
    <s v="No Risk"/>
    <n v="1.4850746268656716"/>
  </r>
  <r>
    <s v="P1127"/>
    <x v="127"/>
    <x v="7"/>
    <s v="Medium"/>
    <x v="0"/>
    <s v="F51"/>
    <x v="2"/>
    <n v="15"/>
    <n v="104"/>
    <s v="Normal"/>
    <n v="297"/>
    <s v="Yes"/>
    <s v="Diabetic Risk"/>
    <s v="Normal"/>
    <n v="136"/>
    <s v="Yes"/>
    <s v="Yes"/>
    <s v="Medium Risk"/>
    <n v="2.1838235294117645"/>
  </r>
  <r>
    <s v="P1128"/>
    <x v="128"/>
    <x v="9"/>
    <s v="Medium"/>
    <x v="0"/>
    <s v="F52"/>
    <x v="0"/>
    <n v="11"/>
    <n v="138"/>
    <s v="Pre-High BP"/>
    <n v="243"/>
    <s v="Yes"/>
    <s v="Diabetic Risk"/>
    <s v="ST-T Abnormality"/>
    <n v="101"/>
    <s v="No"/>
    <s v="Yes"/>
    <s v="Medium Risk"/>
    <n v="2.4059405940594059"/>
  </r>
  <r>
    <s v="P1129"/>
    <x v="129"/>
    <x v="27"/>
    <s v="High"/>
    <x v="0"/>
    <s v="F65"/>
    <x v="0"/>
    <n v="11"/>
    <n v="177"/>
    <s v="High BP"/>
    <n v="238"/>
    <s v="No"/>
    <s v="Normal"/>
    <s v="LV Hypertrophy"/>
    <n v="207"/>
    <s v="No"/>
    <s v="Yes"/>
    <s v="High Risk"/>
    <n v="1.1497584541062802"/>
  </r>
  <r>
    <s v="P1130"/>
    <x v="130"/>
    <x v="36"/>
    <s v="High"/>
    <x v="0"/>
    <s v="F63"/>
    <x v="3"/>
    <n v="12"/>
    <n v="157"/>
    <s v="High BP"/>
    <n v="127"/>
    <s v="No"/>
    <s v="Normal"/>
    <s v="ST-T Abnormality"/>
    <n v="110"/>
    <s v="Yes"/>
    <s v="No"/>
    <s v="No Risk"/>
    <n v="1.1545454545454545"/>
  </r>
  <r>
    <s v="P1131"/>
    <x v="131"/>
    <x v="15"/>
    <s v="High"/>
    <x v="0"/>
    <s v="F72"/>
    <x v="1"/>
    <n v="14"/>
    <n v="101"/>
    <s v="Normal"/>
    <n v="204"/>
    <s v="Yes"/>
    <s v="Diabetic Risk"/>
    <s v="LV Hypertrophy"/>
    <n v="207"/>
    <s v="No"/>
    <s v="Yes"/>
    <s v="High Risk"/>
    <n v="0.98550724637681164"/>
  </r>
  <r>
    <s v="P1132"/>
    <x v="132"/>
    <x v="11"/>
    <s v="High"/>
    <x v="1"/>
    <s v="M68"/>
    <x v="2"/>
    <n v="15"/>
    <n v="148"/>
    <s v="High BP"/>
    <n v="248"/>
    <s v="Yes"/>
    <s v="Diabetic Risk"/>
    <s v="LV Hypertrophy"/>
    <n v="100"/>
    <s v="No"/>
    <s v="Yes"/>
    <s v="High Risk"/>
    <n v="2.48"/>
  </r>
  <r>
    <s v="P1133"/>
    <x v="133"/>
    <x v="13"/>
    <s v="Medium"/>
    <x v="1"/>
    <s v="M50"/>
    <x v="1"/>
    <n v="14"/>
    <n v="126"/>
    <s v="Pre-High BP"/>
    <n v="127"/>
    <s v="No"/>
    <s v="Normal"/>
    <s v="Normal"/>
    <n v="192"/>
    <s v="No"/>
    <s v="Yes"/>
    <s v="Medium Risk"/>
    <n v="0.66145833333333337"/>
  </r>
  <r>
    <s v="P1134"/>
    <x v="134"/>
    <x v="22"/>
    <s v="Medium"/>
    <x v="1"/>
    <s v="M55"/>
    <x v="1"/>
    <n v="14"/>
    <n v="150"/>
    <s v="High BP"/>
    <n v="276"/>
    <s v="No"/>
    <s v="Normal"/>
    <s v="LV Hypertrophy"/>
    <n v="181"/>
    <s v="No"/>
    <s v="No"/>
    <s v="No Risk"/>
    <n v="1.5248618784530388"/>
  </r>
  <r>
    <s v="P1135"/>
    <x v="135"/>
    <x v="36"/>
    <s v="High"/>
    <x v="1"/>
    <s v="M63"/>
    <x v="1"/>
    <n v="14"/>
    <n v="132"/>
    <s v="Pre-High BP"/>
    <n v="215"/>
    <s v="No"/>
    <s v="Normal"/>
    <s v="ST-T Abnormality"/>
    <n v="94"/>
    <s v="Yes"/>
    <s v="Yes"/>
    <s v="High Risk"/>
    <n v="2.2872340425531914"/>
  </r>
  <r>
    <s v="P1136"/>
    <x v="136"/>
    <x v="46"/>
    <e v="#N/A"/>
    <x v="1"/>
    <s v="M29"/>
    <x v="1"/>
    <n v="14"/>
    <n v="159"/>
    <s v="High BP"/>
    <n v="221"/>
    <s v="No"/>
    <s v="Normal"/>
    <s v="LV Hypertrophy"/>
    <n v="170"/>
    <s v="No"/>
    <s v="Yes"/>
    <s v="No Risk"/>
    <n v="1.3"/>
  </r>
  <r>
    <s v="P1137"/>
    <x v="137"/>
    <x v="36"/>
    <s v="High"/>
    <x v="1"/>
    <s v="M63"/>
    <x v="0"/>
    <n v="11"/>
    <n v="128"/>
    <s v="Pre-High BP"/>
    <n v="124"/>
    <s v="No"/>
    <s v="Normal"/>
    <s v="LV Hypertrophy"/>
    <n v="145"/>
    <s v="No"/>
    <s v="No"/>
    <s v="No Risk"/>
    <n v="0.85517241379310349"/>
  </r>
  <r>
    <s v="P1138"/>
    <x v="138"/>
    <x v="27"/>
    <s v="High"/>
    <x v="1"/>
    <s v="M65"/>
    <x v="0"/>
    <n v="11"/>
    <n v="145"/>
    <s v="High BP"/>
    <n v="205"/>
    <s v="No"/>
    <s v="Normal"/>
    <s v="Normal"/>
    <n v="109"/>
    <s v="Yes"/>
    <s v="No"/>
    <s v="No Risk"/>
    <n v="1.8807339449541285"/>
  </r>
  <r>
    <s v="P1139"/>
    <x v="139"/>
    <x v="25"/>
    <s v="High"/>
    <x v="0"/>
    <s v="F75"/>
    <x v="1"/>
    <n v="14"/>
    <n v="152"/>
    <s v="High BP"/>
    <n v="294"/>
    <s v="No"/>
    <s v="Normal"/>
    <s v="LV Hypertrophy"/>
    <n v="130"/>
    <s v="No"/>
    <s v="Yes"/>
    <s v="High Risk"/>
    <n v="2.2615384615384615"/>
  </r>
  <r>
    <s v="P1140"/>
    <x v="140"/>
    <x v="32"/>
    <s v="Low"/>
    <x v="0"/>
    <s v="F42"/>
    <x v="2"/>
    <n v="15"/>
    <n v="135"/>
    <s v="Pre-High BP"/>
    <n v="153"/>
    <s v="No"/>
    <s v="Normal"/>
    <s v="LV Hypertrophy"/>
    <n v="135"/>
    <s v="Yes"/>
    <s v="Yes"/>
    <s v="No Risk"/>
    <n v="1.1333333333333333"/>
  </r>
  <r>
    <s v="P1141"/>
    <x v="141"/>
    <x v="12"/>
    <s v="Low"/>
    <x v="1"/>
    <s v="M31"/>
    <x v="3"/>
    <n v="12"/>
    <n v="177"/>
    <s v="High BP"/>
    <n v="312"/>
    <s v="No"/>
    <s v="Normal"/>
    <s v="ST-T Abnormality"/>
    <n v="101"/>
    <s v="Yes"/>
    <s v="No"/>
    <s v="No Risk"/>
    <n v="3.0891089108910892"/>
  </r>
  <r>
    <s v="P1142"/>
    <x v="142"/>
    <x v="46"/>
    <e v="#N/A"/>
    <x v="1"/>
    <s v="M29"/>
    <x v="2"/>
    <n v="15"/>
    <n v="100"/>
    <s v="Normal"/>
    <n v="174"/>
    <s v="Yes"/>
    <s v="Diabetic Risk"/>
    <s v="Normal"/>
    <n v="159"/>
    <s v="Yes"/>
    <s v="No"/>
    <s v="No Risk"/>
    <n v="1.0943396226415094"/>
  </r>
  <r>
    <s v="P1143"/>
    <x v="143"/>
    <x v="47"/>
    <s v="Low"/>
    <x v="0"/>
    <s v="F33"/>
    <x v="2"/>
    <n v="15"/>
    <n v="151"/>
    <s v="High BP"/>
    <n v="238"/>
    <s v="Yes"/>
    <s v="Diabetic Risk"/>
    <s v="Normal"/>
    <n v="106"/>
    <s v="No"/>
    <s v="No"/>
    <s v="No Risk"/>
    <n v="2.2452830188679247"/>
  </r>
  <r>
    <s v="P1144"/>
    <x v="144"/>
    <x v="34"/>
    <s v="Medium"/>
    <x v="1"/>
    <s v="M54"/>
    <x v="2"/>
    <n v="15"/>
    <n v="166"/>
    <s v="High BP"/>
    <n v="337"/>
    <s v="Yes"/>
    <s v="Diabetic Risk"/>
    <s v="Normal"/>
    <n v="204"/>
    <s v="Yes"/>
    <s v="No"/>
    <s v="No Risk"/>
    <n v="1.6519607843137254"/>
  </r>
  <r>
    <s v="P1145"/>
    <x v="145"/>
    <x v="32"/>
    <s v="Low"/>
    <x v="1"/>
    <s v="M42"/>
    <x v="1"/>
    <n v="14"/>
    <n v="187"/>
    <s v="High BP"/>
    <n v="290"/>
    <s v="No"/>
    <s v="Normal"/>
    <s v="LV Hypertrophy"/>
    <n v="108"/>
    <s v="Yes"/>
    <s v="No"/>
    <s v="No Risk"/>
    <n v="2.6851851851851851"/>
  </r>
  <r>
    <s v="P1146"/>
    <x v="146"/>
    <x v="0"/>
    <s v="High"/>
    <x v="0"/>
    <s v="F67"/>
    <x v="0"/>
    <n v="11"/>
    <n v="114"/>
    <s v="Normal"/>
    <n v="321"/>
    <s v="Yes"/>
    <s v="Diabetic Risk"/>
    <s v="Normal"/>
    <n v="115"/>
    <s v="Yes"/>
    <s v="No"/>
    <s v="No Risk"/>
    <n v="2.7913043478260868"/>
  </r>
  <r>
    <s v="P1147"/>
    <x v="147"/>
    <x v="22"/>
    <s v="Medium"/>
    <x v="1"/>
    <s v="M55"/>
    <x v="2"/>
    <n v="15"/>
    <n v="160"/>
    <s v="High BP"/>
    <n v="277"/>
    <s v="No"/>
    <s v="Normal"/>
    <s v="LV Hypertrophy"/>
    <n v="137"/>
    <s v="No"/>
    <s v="No"/>
    <s v="No Risk"/>
    <n v="2.0218978102189782"/>
  </r>
  <r>
    <s v="P1148"/>
    <x v="148"/>
    <x v="29"/>
    <s v="Low"/>
    <x v="0"/>
    <s v="F37"/>
    <x v="1"/>
    <n v="14"/>
    <n v="141"/>
    <s v="High BP"/>
    <n v="233"/>
    <s v="No"/>
    <s v="Normal"/>
    <s v="LV Hypertrophy"/>
    <n v="197"/>
    <s v="No"/>
    <s v="Yes"/>
    <s v="No Risk"/>
    <n v="1.1827411167512691"/>
  </r>
  <r>
    <s v="P1149"/>
    <x v="149"/>
    <x v="2"/>
    <s v="Low"/>
    <x v="1"/>
    <s v="M43"/>
    <x v="2"/>
    <n v="15"/>
    <n v="93"/>
    <s v="Normal"/>
    <n v="329"/>
    <s v="Yes"/>
    <s v="Diabetic Risk"/>
    <s v="ST-T Abnormality"/>
    <n v="197"/>
    <s v="No"/>
    <s v="No"/>
    <s v="No Risk"/>
    <n v="1.6700507614213198"/>
  </r>
  <r>
    <s v="P1150"/>
    <x v="150"/>
    <x v="2"/>
    <s v="Low"/>
    <x v="0"/>
    <s v="F43"/>
    <x v="2"/>
    <n v="15"/>
    <n v="148"/>
    <s v="High BP"/>
    <n v="264"/>
    <s v="No"/>
    <s v="Normal"/>
    <s v="ST-T Abnormality"/>
    <n v="141"/>
    <s v="No"/>
    <s v="No"/>
    <s v="No Risk"/>
    <n v="1.8723404255319149"/>
  </r>
  <r>
    <s v="P1151"/>
    <x v="151"/>
    <x v="34"/>
    <s v="Medium"/>
    <x v="0"/>
    <s v="F54"/>
    <x v="1"/>
    <n v="14"/>
    <n v="161"/>
    <s v="High BP"/>
    <n v="145"/>
    <s v="Yes"/>
    <s v="Diabetic Risk"/>
    <s v="ST-T Abnormality"/>
    <n v="185"/>
    <s v="No"/>
    <s v="Yes"/>
    <s v="Medium Risk"/>
    <n v="0.78378378378378377"/>
  </r>
  <r>
    <s v="P1152"/>
    <x v="152"/>
    <x v="23"/>
    <s v="High"/>
    <x v="0"/>
    <s v="F70"/>
    <x v="0"/>
    <n v="11"/>
    <n v="109"/>
    <s v="Normal"/>
    <n v="255"/>
    <s v="Yes"/>
    <s v="Diabetic Risk"/>
    <s v="ST-T Abnormality"/>
    <n v="159"/>
    <s v="No"/>
    <s v="No"/>
    <s v="No Risk"/>
    <n v="1.6037735849056605"/>
  </r>
  <r>
    <s v="P1153"/>
    <x v="153"/>
    <x v="48"/>
    <s v="Low"/>
    <x v="1"/>
    <s v="M41"/>
    <x v="0"/>
    <n v="11"/>
    <n v="182"/>
    <s v="High BP"/>
    <n v="166"/>
    <s v="Yes"/>
    <s v="Diabetic Risk"/>
    <s v="ST-T Abnormality"/>
    <n v="144"/>
    <s v="No"/>
    <s v="No"/>
    <s v="No Risk"/>
    <n v="1.1527777777777777"/>
  </r>
  <r>
    <s v="P1154"/>
    <x v="154"/>
    <x v="26"/>
    <s v="High"/>
    <x v="0"/>
    <s v="F79"/>
    <x v="3"/>
    <n v="12"/>
    <n v="152"/>
    <s v="High BP"/>
    <n v="232"/>
    <s v="No"/>
    <s v="Normal"/>
    <s v="LV Hypertrophy"/>
    <n v="189"/>
    <s v="Yes"/>
    <s v="Yes"/>
    <s v="High Risk"/>
    <n v="1.2275132275132274"/>
  </r>
  <r>
    <s v="P1155"/>
    <x v="155"/>
    <x v="49"/>
    <s v="High"/>
    <x v="1"/>
    <s v="M60"/>
    <x v="1"/>
    <n v="14"/>
    <n v="143"/>
    <s v="High BP"/>
    <n v="195"/>
    <s v="Yes"/>
    <s v="Diabetic Risk"/>
    <s v="LV Hypertrophy"/>
    <n v="191"/>
    <s v="Yes"/>
    <s v="No"/>
    <s v="No Risk"/>
    <n v="1.0209424083769634"/>
  </r>
  <r>
    <s v="P1156"/>
    <x v="156"/>
    <x v="0"/>
    <s v="High"/>
    <x v="1"/>
    <s v="M67"/>
    <x v="3"/>
    <n v="12"/>
    <n v="163"/>
    <s v="High BP"/>
    <n v="338"/>
    <s v="No"/>
    <s v="Normal"/>
    <s v="Normal"/>
    <n v="164"/>
    <s v="Yes"/>
    <s v="Yes"/>
    <s v="High Risk"/>
    <n v="2.0609756097560976"/>
  </r>
  <r>
    <s v="P1157"/>
    <x v="157"/>
    <x v="21"/>
    <s v="High"/>
    <x v="1"/>
    <s v="M77"/>
    <x v="3"/>
    <n v="12"/>
    <n v="187"/>
    <s v="High BP"/>
    <n v="191"/>
    <s v="Yes"/>
    <s v="Diabetic Risk"/>
    <s v="LV Hypertrophy"/>
    <n v="122"/>
    <s v="Yes"/>
    <s v="Yes"/>
    <s v="High Risk"/>
    <n v="1.5655737704918034"/>
  </r>
  <r>
    <s v="P1158"/>
    <x v="158"/>
    <x v="49"/>
    <s v="High"/>
    <x v="1"/>
    <s v="M60"/>
    <x v="3"/>
    <n v="12"/>
    <n v="146"/>
    <s v="High BP"/>
    <n v="208"/>
    <s v="Yes"/>
    <s v="Diabetic Risk"/>
    <s v="LV Hypertrophy"/>
    <n v="151"/>
    <s v="No"/>
    <s v="Yes"/>
    <s v="High Risk"/>
    <n v="1.3774834437086092"/>
  </r>
  <r>
    <s v="P1159"/>
    <x v="159"/>
    <x v="31"/>
    <s v="Low"/>
    <x v="0"/>
    <s v="F32"/>
    <x v="0"/>
    <n v="11"/>
    <n v="179"/>
    <s v="High BP"/>
    <n v="165"/>
    <s v="Yes"/>
    <s v="Diabetic Risk"/>
    <s v="ST-T Abnormality"/>
    <n v="177"/>
    <s v="Yes"/>
    <s v="Yes"/>
    <s v="No Risk"/>
    <n v="0.93220338983050843"/>
  </r>
  <r>
    <s v="P1160"/>
    <x v="160"/>
    <x v="16"/>
    <s v="Medium"/>
    <x v="0"/>
    <s v="F58"/>
    <x v="1"/>
    <n v="14"/>
    <n v="130"/>
    <s v="Pre-High BP"/>
    <n v="315"/>
    <s v="No"/>
    <s v="Normal"/>
    <s v="LV Hypertrophy"/>
    <n v="112"/>
    <s v="Yes"/>
    <s v="No"/>
    <s v="No Risk"/>
    <n v="2.8125"/>
  </r>
  <r>
    <s v="P1161"/>
    <x v="161"/>
    <x v="27"/>
    <s v="High"/>
    <x v="1"/>
    <s v="M65"/>
    <x v="3"/>
    <n v="12"/>
    <n v="92"/>
    <s v="Normal"/>
    <n v="152"/>
    <s v="No"/>
    <s v="Normal"/>
    <s v="ST-T Abnormality"/>
    <n v="104"/>
    <s v="Yes"/>
    <s v="Yes"/>
    <s v="High Risk"/>
    <n v="1.4615384615384615"/>
  </r>
  <r>
    <s v="P1162"/>
    <x v="162"/>
    <x v="7"/>
    <s v="Medium"/>
    <x v="1"/>
    <s v="M51"/>
    <x v="1"/>
    <n v="14"/>
    <n v="95"/>
    <s v="Normal"/>
    <n v="120"/>
    <s v="No"/>
    <s v="Normal"/>
    <s v="Normal"/>
    <n v="116"/>
    <s v="Yes"/>
    <s v="Yes"/>
    <s v="Medium Risk"/>
    <n v="1.0344827586206897"/>
  </r>
  <r>
    <s v="P1163"/>
    <x v="163"/>
    <x v="0"/>
    <s v="High"/>
    <x v="0"/>
    <s v="F67"/>
    <x v="1"/>
    <n v="14"/>
    <n v="94"/>
    <s v="Normal"/>
    <n v="266"/>
    <s v="Yes"/>
    <s v="Diabetic Risk"/>
    <s v="Normal"/>
    <n v="164"/>
    <s v="No"/>
    <s v="No"/>
    <s v="No Risk"/>
    <n v="1.6219512195121952"/>
  </r>
  <r>
    <s v="P1164"/>
    <x v="164"/>
    <x v="44"/>
    <s v="High"/>
    <x v="1"/>
    <s v="M73"/>
    <x v="0"/>
    <n v="11"/>
    <n v="94"/>
    <s v="Normal"/>
    <n v="150"/>
    <s v="Yes"/>
    <s v="Diabetic Risk"/>
    <s v="LV Hypertrophy"/>
    <n v="153"/>
    <s v="No"/>
    <s v="Yes"/>
    <s v="High Risk"/>
    <n v="0.98039215686274506"/>
  </r>
  <r>
    <s v="P1165"/>
    <x v="165"/>
    <x v="2"/>
    <s v="Low"/>
    <x v="0"/>
    <s v="F43"/>
    <x v="3"/>
    <n v="12"/>
    <n v="143"/>
    <s v="High BP"/>
    <n v="327"/>
    <s v="No"/>
    <s v="Normal"/>
    <s v="Normal"/>
    <n v="204"/>
    <s v="No"/>
    <s v="Yes"/>
    <s v="No Risk"/>
    <n v="1.6029411764705883"/>
  </r>
  <r>
    <s v="P1166"/>
    <x v="166"/>
    <x v="3"/>
    <s v="High"/>
    <x v="1"/>
    <s v="M71"/>
    <x v="3"/>
    <n v="12"/>
    <n v="136"/>
    <s v="Pre-High BP"/>
    <n v="261"/>
    <s v="No"/>
    <s v="Normal"/>
    <s v="LV Hypertrophy"/>
    <n v="203"/>
    <s v="Yes"/>
    <s v="Yes"/>
    <s v="High Risk"/>
    <n v="1.2857142857142858"/>
  </r>
  <r>
    <s v="P1167"/>
    <x v="167"/>
    <x v="39"/>
    <s v="Medium"/>
    <x v="1"/>
    <s v="M57"/>
    <x v="1"/>
    <n v="14"/>
    <n v="176"/>
    <s v="High BP"/>
    <n v="172"/>
    <s v="No"/>
    <s v="Normal"/>
    <s v="Normal"/>
    <n v="170"/>
    <s v="No"/>
    <s v="Yes"/>
    <s v="Medium Risk"/>
    <n v="1.0117647058823529"/>
  </r>
  <r>
    <s v="P1168"/>
    <x v="168"/>
    <x v="10"/>
    <s v="High"/>
    <x v="0"/>
    <s v="F64"/>
    <x v="2"/>
    <n v="15"/>
    <n v="138"/>
    <s v="Pre-High BP"/>
    <n v="167"/>
    <s v="No"/>
    <s v="Normal"/>
    <s v="ST-T Abnormality"/>
    <n v="140"/>
    <s v="Yes"/>
    <s v="No"/>
    <s v="No Risk"/>
    <n v="1.1928571428571428"/>
  </r>
  <r>
    <s v="P1169"/>
    <x v="169"/>
    <x v="48"/>
    <s v="Low"/>
    <x v="1"/>
    <s v="M41"/>
    <x v="0"/>
    <n v="11"/>
    <n v="98"/>
    <s v="Normal"/>
    <n v="188"/>
    <s v="No"/>
    <s v="Normal"/>
    <s v="ST-T Abnormality"/>
    <n v="142"/>
    <s v="No"/>
    <s v="Yes"/>
    <s v="No Risk"/>
    <n v="1.323943661971831"/>
  </r>
  <r>
    <s v="P1170"/>
    <x v="170"/>
    <x v="49"/>
    <s v="High"/>
    <x v="0"/>
    <s v="F60"/>
    <x v="0"/>
    <n v="11"/>
    <n v="188"/>
    <s v="High BP"/>
    <n v="224"/>
    <s v="No"/>
    <s v="Normal"/>
    <s v="ST-T Abnormality"/>
    <n v="167"/>
    <s v="No"/>
    <s v="No"/>
    <s v="No Risk"/>
    <n v="1.341317365269461"/>
  </r>
  <r>
    <s v="P1171"/>
    <x v="171"/>
    <x v="28"/>
    <s v="Low"/>
    <x v="1"/>
    <s v="M35"/>
    <x v="0"/>
    <n v="11"/>
    <n v="109"/>
    <s v="Normal"/>
    <n v="209"/>
    <s v="Yes"/>
    <s v="Diabetic Risk"/>
    <s v="ST-T Abnormality"/>
    <n v="180"/>
    <s v="No"/>
    <s v="No"/>
    <s v="No Risk"/>
    <n v="1.1611111111111112"/>
  </r>
  <r>
    <s v="P1172"/>
    <x v="172"/>
    <x v="26"/>
    <s v="High"/>
    <x v="1"/>
    <s v="M79"/>
    <x v="0"/>
    <n v="11"/>
    <n v="150"/>
    <s v="High BP"/>
    <n v="309"/>
    <s v="No"/>
    <s v="Normal"/>
    <s v="LV Hypertrophy"/>
    <n v="171"/>
    <s v="No"/>
    <s v="Yes"/>
    <s v="High Risk"/>
    <n v="1.8070175438596492"/>
  </r>
  <r>
    <s v="P1173"/>
    <x v="173"/>
    <x v="13"/>
    <s v="Medium"/>
    <x v="1"/>
    <s v="M50"/>
    <x v="3"/>
    <n v="12"/>
    <n v="124"/>
    <s v="Pre-High BP"/>
    <n v="339"/>
    <s v="Yes"/>
    <s v="Diabetic Risk"/>
    <s v="Normal"/>
    <n v="181"/>
    <s v="No"/>
    <s v="Yes"/>
    <s v="Medium Risk"/>
    <n v="1.8729281767955801"/>
  </r>
  <r>
    <s v="P1174"/>
    <x v="174"/>
    <x v="24"/>
    <s v="Medium"/>
    <x v="0"/>
    <s v="F56"/>
    <x v="3"/>
    <n v="12"/>
    <n v="139"/>
    <s v="Pre-High BP"/>
    <n v="313"/>
    <s v="Yes"/>
    <s v="Diabetic Risk"/>
    <s v="LV Hypertrophy"/>
    <n v="140"/>
    <s v="Yes"/>
    <s v="Yes"/>
    <s v="Medium Risk"/>
    <n v="2.2357142857142858"/>
  </r>
  <r>
    <s v="P1175"/>
    <x v="175"/>
    <x v="14"/>
    <s v="Low"/>
    <x v="1"/>
    <s v="M30"/>
    <x v="2"/>
    <n v="15"/>
    <n v="171"/>
    <s v="High BP"/>
    <n v="311"/>
    <s v="No"/>
    <s v="Normal"/>
    <s v="ST-T Abnormality"/>
    <n v="136"/>
    <s v="No"/>
    <s v="Yes"/>
    <s v="No Risk"/>
    <n v="2.2867647058823528"/>
  </r>
  <r>
    <s v="P1176"/>
    <x v="176"/>
    <x v="23"/>
    <s v="High"/>
    <x v="1"/>
    <s v="M70"/>
    <x v="0"/>
    <n v="11"/>
    <n v="151"/>
    <s v="High BP"/>
    <n v="317"/>
    <s v="No"/>
    <s v="Normal"/>
    <s v="LV Hypertrophy"/>
    <n v="200"/>
    <s v="Yes"/>
    <s v="No"/>
    <s v="No Risk"/>
    <n v="1.585"/>
  </r>
  <r>
    <s v="P1177"/>
    <x v="177"/>
    <x v="44"/>
    <s v="High"/>
    <x v="1"/>
    <s v="M73"/>
    <x v="0"/>
    <n v="11"/>
    <n v="106"/>
    <s v="Normal"/>
    <n v="182"/>
    <s v="Yes"/>
    <s v="Diabetic Risk"/>
    <s v="Normal"/>
    <n v="93"/>
    <s v="Yes"/>
    <s v="No"/>
    <s v="No Risk"/>
    <n v="1.956989247311828"/>
  </r>
  <r>
    <s v="P1178"/>
    <x v="178"/>
    <x v="38"/>
    <s v="Low"/>
    <x v="1"/>
    <s v="M34"/>
    <x v="1"/>
    <n v="14"/>
    <n v="177"/>
    <s v="High BP"/>
    <n v="192"/>
    <s v="No"/>
    <s v="Normal"/>
    <s v="LV Hypertrophy"/>
    <n v="96"/>
    <s v="Yes"/>
    <s v="No"/>
    <s v="No Risk"/>
    <n v="2"/>
  </r>
  <r>
    <s v="P1179"/>
    <x v="179"/>
    <x v="24"/>
    <s v="Medium"/>
    <x v="0"/>
    <s v="F56"/>
    <x v="3"/>
    <n v="12"/>
    <n v="92"/>
    <s v="Normal"/>
    <n v="280"/>
    <s v="No"/>
    <s v="Normal"/>
    <s v="Normal"/>
    <n v="198"/>
    <s v="Yes"/>
    <s v="Yes"/>
    <s v="Medium Risk"/>
    <n v="1.4141414141414141"/>
  </r>
  <r>
    <s v="P1180"/>
    <x v="180"/>
    <x v="24"/>
    <s v="Medium"/>
    <x v="0"/>
    <s v="F56"/>
    <x v="0"/>
    <n v="11"/>
    <n v="121"/>
    <s v="Pre-High BP"/>
    <n v="288"/>
    <s v="Yes"/>
    <s v="Diabetic Risk"/>
    <s v="LV Hypertrophy"/>
    <n v="124"/>
    <s v="Yes"/>
    <s v="No"/>
    <s v="No Risk"/>
    <n v="2.3225806451612905"/>
  </r>
  <r>
    <s v="P1181"/>
    <x v="181"/>
    <x v="15"/>
    <s v="High"/>
    <x v="1"/>
    <s v="M72"/>
    <x v="2"/>
    <n v="15"/>
    <n v="188"/>
    <s v="High BP"/>
    <n v="208"/>
    <s v="Yes"/>
    <s v="Diabetic Risk"/>
    <s v="Normal"/>
    <n v="137"/>
    <s v="No"/>
    <s v="Yes"/>
    <s v="High Risk"/>
    <n v="1.5182481751824817"/>
  </r>
  <r>
    <s v="P1182"/>
    <x v="182"/>
    <x v="15"/>
    <s v="High"/>
    <x v="0"/>
    <s v="F72"/>
    <x v="2"/>
    <n v="15"/>
    <n v="102"/>
    <s v="Normal"/>
    <n v="295"/>
    <s v="Yes"/>
    <s v="Diabetic Risk"/>
    <s v="Normal"/>
    <n v="162"/>
    <s v="No"/>
    <s v="Yes"/>
    <s v="High Risk"/>
    <n v="1.8209876543209877"/>
  </r>
  <r>
    <s v="P1183"/>
    <x v="183"/>
    <x v="35"/>
    <s v="Medium"/>
    <x v="1"/>
    <s v="M48"/>
    <x v="3"/>
    <n v="12"/>
    <n v="178"/>
    <s v="High BP"/>
    <n v="132"/>
    <s v="No"/>
    <s v="Normal"/>
    <s v="ST-T Abnormality"/>
    <n v="161"/>
    <s v="No"/>
    <s v="Yes"/>
    <s v="Medium Risk"/>
    <n v="0.81987577639751552"/>
  </r>
  <r>
    <s v="P1184"/>
    <x v="184"/>
    <x v="16"/>
    <s v="Medium"/>
    <x v="1"/>
    <s v="M58"/>
    <x v="2"/>
    <n v="15"/>
    <n v="162"/>
    <s v="High BP"/>
    <n v="192"/>
    <s v="Yes"/>
    <s v="Diabetic Risk"/>
    <s v="Normal"/>
    <n v="205"/>
    <s v="No"/>
    <s v="Yes"/>
    <s v="Medium Risk"/>
    <n v="0.93658536585365859"/>
  </r>
  <r>
    <s v="P1185"/>
    <x v="185"/>
    <x v="8"/>
    <s v="Low"/>
    <x v="1"/>
    <s v="M39"/>
    <x v="2"/>
    <n v="15"/>
    <n v="157"/>
    <s v="High BP"/>
    <n v="196"/>
    <s v="No"/>
    <s v="Normal"/>
    <s v="ST-T Abnormality"/>
    <n v="134"/>
    <s v="Yes"/>
    <s v="Yes"/>
    <s v="No Risk"/>
    <n v="1.4626865671641791"/>
  </r>
  <r>
    <s v="P1186"/>
    <x v="186"/>
    <x v="24"/>
    <s v="Medium"/>
    <x v="0"/>
    <s v="F56"/>
    <x v="3"/>
    <n v="12"/>
    <n v="103"/>
    <s v="Normal"/>
    <n v="278"/>
    <s v="Yes"/>
    <s v="Diabetic Risk"/>
    <s v="ST-T Abnormality"/>
    <n v="170"/>
    <s v="No"/>
    <s v="No"/>
    <s v="No Risk"/>
    <n v="1.6352941176470588"/>
  </r>
  <r>
    <s v="P1187"/>
    <x v="187"/>
    <x v="20"/>
    <s v="Medium"/>
    <x v="0"/>
    <s v="F53"/>
    <x v="0"/>
    <n v="11"/>
    <n v="187"/>
    <s v="High BP"/>
    <n v="322"/>
    <s v="Yes"/>
    <s v="Diabetic Risk"/>
    <s v="ST-T Abnormality"/>
    <n v="170"/>
    <s v="No"/>
    <s v="No"/>
    <s v="No Risk"/>
    <n v="1.8941176470588235"/>
  </r>
  <r>
    <s v="P1188"/>
    <x v="188"/>
    <x v="0"/>
    <s v="High"/>
    <x v="0"/>
    <s v="F67"/>
    <x v="0"/>
    <n v="11"/>
    <n v="100"/>
    <s v="Normal"/>
    <n v="187"/>
    <s v="Yes"/>
    <s v="Diabetic Risk"/>
    <s v="LV Hypertrophy"/>
    <n v="202"/>
    <s v="Yes"/>
    <s v="Yes"/>
    <s v="High Risk"/>
    <n v="0.92574257425742579"/>
  </r>
  <r>
    <s v="P1189"/>
    <x v="189"/>
    <x v="18"/>
    <s v="High"/>
    <x v="0"/>
    <s v="F61"/>
    <x v="2"/>
    <n v="15"/>
    <n v="145"/>
    <s v="High BP"/>
    <n v="217"/>
    <s v="No"/>
    <s v="Normal"/>
    <s v="LV Hypertrophy"/>
    <n v="186"/>
    <s v="Yes"/>
    <s v="No"/>
    <s v="No Risk"/>
    <n v="1.1666666666666667"/>
  </r>
  <r>
    <s v="P1190"/>
    <x v="190"/>
    <x v="46"/>
    <e v="#N/A"/>
    <x v="0"/>
    <s v="F29"/>
    <x v="2"/>
    <n v="15"/>
    <n v="156"/>
    <s v="High BP"/>
    <n v="244"/>
    <s v="No"/>
    <s v="Normal"/>
    <s v="LV Hypertrophy"/>
    <n v="185"/>
    <s v="No"/>
    <s v="Yes"/>
    <s v="No Risk"/>
    <n v="1.318918918918919"/>
  </r>
  <r>
    <s v="P1191"/>
    <x v="191"/>
    <x v="22"/>
    <s v="Medium"/>
    <x v="0"/>
    <s v="F55"/>
    <x v="0"/>
    <n v="11"/>
    <n v="181"/>
    <s v="High BP"/>
    <n v="221"/>
    <s v="Yes"/>
    <s v="Diabetic Risk"/>
    <s v="LV Hypertrophy"/>
    <n v="161"/>
    <s v="No"/>
    <s v="Yes"/>
    <s v="Medium Risk"/>
    <n v="1.3726708074534162"/>
  </r>
  <r>
    <s v="P1192"/>
    <x v="192"/>
    <x v="48"/>
    <s v="Low"/>
    <x v="0"/>
    <s v="F41"/>
    <x v="3"/>
    <n v="12"/>
    <n v="118"/>
    <s v="Normal"/>
    <n v="251"/>
    <s v="Yes"/>
    <s v="Diabetic Risk"/>
    <s v="Normal"/>
    <n v="108"/>
    <s v="Yes"/>
    <s v="Yes"/>
    <s v="No Risk"/>
    <n v="2.324074074074074"/>
  </r>
  <r>
    <s v="P1193"/>
    <x v="193"/>
    <x v="45"/>
    <s v="High"/>
    <x v="0"/>
    <s v="F69"/>
    <x v="2"/>
    <n v="15"/>
    <n v="98"/>
    <s v="Normal"/>
    <n v="221"/>
    <s v="Yes"/>
    <s v="Diabetic Risk"/>
    <s v="Normal"/>
    <n v="152"/>
    <s v="No"/>
    <s v="No"/>
    <s v="No Risk"/>
    <n v="1.4539473684210527"/>
  </r>
  <r>
    <s v="P1194"/>
    <x v="194"/>
    <x v="12"/>
    <s v="Low"/>
    <x v="0"/>
    <s v="F31"/>
    <x v="1"/>
    <n v="14"/>
    <n v="156"/>
    <s v="High BP"/>
    <n v="138"/>
    <s v="No"/>
    <s v="Normal"/>
    <s v="LV Hypertrophy"/>
    <n v="127"/>
    <s v="No"/>
    <s v="Yes"/>
    <s v="No Risk"/>
    <n v="1.0866141732283465"/>
  </r>
  <r>
    <s v="P1195"/>
    <x v="195"/>
    <x v="0"/>
    <s v="High"/>
    <x v="1"/>
    <s v="M67"/>
    <x v="3"/>
    <n v="12"/>
    <n v="114"/>
    <s v="Normal"/>
    <n v="317"/>
    <s v="Yes"/>
    <s v="Diabetic Risk"/>
    <s v="Normal"/>
    <n v="156"/>
    <s v="No"/>
    <s v="Yes"/>
    <s v="High Risk"/>
    <n v="2.0320512820512819"/>
  </r>
  <r>
    <s v="P1196"/>
    <x v="196"/>
    <x v="38"/>
    <s v="Low"/>
    <x v="0"/>
    <s v="F34"/>
    <x v="2"/>
    <n v="15"/>
    <n v="187"/>
    <s v="High BP"/>
    <n v="345"/>
    <s v="No"/>
    <s v="Normal"/>
    <s v="Normal"/>
    <n v="148"/>
    <s v="No"/>
    <s v="No"/>
    <s v="No Risk"/>
    <n v="2.3310810810810811"/>
  </r>
  <r>
    <s v="P1197"/>
    <x v="197"/>
    <x v="4"/>
    <s v="Low"/>
    <x v="0"/>
    <s v="F36"/>
    <x v="2"/>
    <n v="15"/>
    <n v="165"/>
    <s v="High BP"/>
    <n v="201"/>
    <s v="Yes"/>
    <s v="Diabetic Risk"/>
    <s v="ST-T Abnormality"/>
    <n v="158"/>
    <s v="Yes"/>
    <s v="No"/>
    <s v="No Risk"/>
    <n v="1.2721518987341771"/>
  </r>
  <r>
    <s v="P1198"/>
    <x v="198"/>
    <x v="22"/>
    <s v="Medium"/>
    <x v="0"/>
    <s v="F55"/>
    <x v="1"/>
    <n v="14"/>
    <n v="131"/>
    <s v="Pre-High BP"/>
    <n v="260"/>
    <s v="Yes"/>
    <s v="Diabetic Risk"/>
    <s v="ST-T Abnormality"/>
    <n v="102"/>
    <s v="Yes"/>
    <s v="No"/>
    <s v="No Risk"/>
    <n v="2.5490196078431371"/>
  </r>
  <r>
    <s v="P1199"/>
    <x v="199"/>
    <x v="29"/>
    <s v="Low"/>
    <x v="0"/>
    <s v="F37"/>
    <x v="1"/>
    <n v="14"/>
    <n v="98"/>
    <s v="Normal"/>
    <n v="142"/>
    <s v="Yes"/>
    <s v="Diabetic Risk"/>
    <s v="ST-T Abnormality"/>
    <n v="136"/>
    <s v="Yes"/>
    <s v="Yes"/>
    <s v="No Risk"/>
    <n v="1.0441176470588236"/>
  </r>
  <r>
    <s v="P1200"/>
    <x v="200"/>
    <x v="27"/>
    <s v="High"/>
    <x v="0"/>
    <s v="F65"/>
    <x v="0"/>
    <n v="11"/>
    <n v="168"/>
    <s v="High BP"/>
    <n v="202"/>
    <s v="Yes"/>
    <s v="Diabetic Risk"/>
    <s v="ST-T Abnormality"/>
    <n v="199"/>
    <s v="No"/>
    <s v="Yes"/>
    <s v="High Risk"/>
    <n v="1.0150753768844221"/>
  </r>
  <r>
    <s v="P1201"/>
    <x v="201"/>
    <x v="18"/>
    <s v="High"/>
    <x v="0"/>
    <s v="F61"/>
    <x v="3"/>
    <n v="12"/>
    <n v="129"/>
    <s v="Pre-High BP"/>
    <n v="228"/>
    <s v="Yes"/>
    <s v="Diabetic Risk"/>
    <s v="Normal"/>
    <n v="150"/>
    <s v="No"/>
    <s v="No"/>
    <s v="No Risk"/>
    <n v="1.52"/>
  </r>
  <r>
    <s v="P1202"/>
    <x v="202"/>
    <x v="26"/>
    <s v="High"/>
    <x v="0"/>
    <s v="F79"/>
    <x v="3"/>
    <n v="12"/>
    <n v="114"/>
    <s v="Normal"/>
    <n v="194"/>
    <s v="Yes"/>
    <s v="Diabetic Risk"/>
    <s v="LV Hypertrophy"/>
    <n v="120"/>
    <s v="No"/>
    <s v="Yes"/>
    <s v="High Risk"/>
    <n v="1.6166666666666667"/>
  </r>
  <r>
    <s v="P1203"/>
    <x v="203"/>
    <x v="23"/>
    <s v="High"/>
    <x v="0"/>
    <s v="F70"/>
    <x v="0"/>
    <n v="11"/>
    <n v="94"/>
    <s v="Normal"/>
    <n v="248"/>
    <s v="No"/>
    <s v="Normal"/>
    <s v="Normal"/>
    <n v="208"/>
    <s v="No"/>
    <s v="No"/>
    <s v="No Risk"/>
    <n v="1.1923076923076923"/>
  </r>
  <r>
    <s v="P1204"/>
    <x v="204"/>
    <x v="15"/>
    <s v="High"/>
    <x v="0"/>
    <s v="F72"/>
    <x v="3"/>
    <n v="12"/>
    <n v="100"/>
    <s v="Normal"/>
    <n v="207"/>
    <s v="Yes"/>
    <s v="Diabetic Risk"/>
    <s v="Normal"/>
    <n v="169"/>
    <s v="No"/>
    <s v="No"/>
    <s v="No Risk"/>
    <n v="1.2248520710059172"/>
  </r>
  <r>
    <s v="P1205"/>
    <x v="205"/>
    <x v="9"/>
    <s v="Medium"/>
    <x v="0"/>
    <s v="F52"/>
    <x v="3"/>
    <n v="12"/>
    <n v="148"/>
    <s v="High BP"/>
    <n v="173"/>
    <s v="No"/>
    <s v="Normal"/>
    <s v="Normal"/>
    <n v="203"/>
    <s v="Yes"/>
    <s v="Yes"/>
    <s v="Medium Risk"/>
    <n v="0.85221674876847286"/>
  </r>
  <r>
    <s v="P1206"/>
    <x v="206"/>
    <x v="2"/>
    <s v="Low"/>
    <x v="0"/>
    <s v="F43"/>
    <x v="3"/>
    <n v="12"/>
    <n v="187"/>
    <s v="High BP"/>
    <n v="318"/>
    <s v="Yes"/>
    <s v="Diabetic Risk"/>
    <s v="ST-T Abnormality"/>
    <n v="185"/>
    <s v="No"/>
    <s v="Yes"/>
    <s v="No Risk"/>
    <n v="1.7189189189189189"/>
  </r>
  <r>
    <s v="P1207"/>
    <x v="207"/>
    <x v="49"/>
    <s v="High"/>
    <x v="1"/>
    <s v="M60"/>
    <x v="3"/>
    <n v="12"/>
    <n v="177"/>
    <s v="High BP"/>
    <n v="208"/>
    <s v="Yes"/>
    <s v="Diabetic Risk"/>
    <s v="ST-T Abnormality"/>
    <n v="111"/>
    <s v="No"/>
    <s v="No"/>
    <s v="No Risk"/>
    <n v="1.8738738738738738"/>
  </r>
  <r>
    <s v="P1208"/>
    <x v="208"/>
    <x v="49"/>
    <s v="High"/>
    <x v="1"/>
    <s v="M60"/>
    <x v="3"/>
    <n v="12"/>
    <n v="168"/>
    <s v="High BP"/>
    <n v="332"/>
    <s v="No"/>
    <s v="Normal"/>
    <s v="ST-T Abnormality"/>
    <n v="182"/>
    <s v="Yes"/>
    <s v="No"/>
    <s v="No Risk"/>
    <n v="1.8241758241758241"/>
  </r>
  <r>
    <s v="P1209"/>
    <x v="209"/>
    <x v="9"/>
    <s v="Medium"/>
    <x v="0"/>
    <s v="F52"/>
    <x v="1"/>
    <n v="14"/>
    <n v="127"/>
    <s v="Pre-High BP"/>
    <n v="262"/>
    <s v="Yes"/>
    <s v="Diabetic Risk"/>
    <s v="LV Hypertrophy"/>
    <n v="175"/>
    <s v="No"/>
    <s v="No"/>
    <s v="No Risk"/>
    <n v="1.4971428571428571"/>
  </r>
  <r>
    <s v="P1210"/>
    <x v="210"/>
    <x v="45"/>
    <s v="High"/>
    <x v="0"/>
    <s v="F69"/>
    <x v="3"/>
    <n v="12"/>
    <n v="161"/>
    <s v="High BP"/>
    <n v="184"/>
    <s v="No"/>
    <s v="Normal"/>
    <s v="Normal"/>
    <n v="132"/>
    <s v="Yes"/>
    <s v="No"/>
    <s v="No Risk"/>
    <n v="1.393939393939394"/>
  </r>
  <r>
    <s v="P1211"/>
    <x v="211"/>
    <x v="21"/>
    <s v="High"/>
    <x v="1"/>
    <s v="M77"/>
    <x v="1"/>
    <n v="14"/>
    <n v="94"/>
    <s v="Normal"/>
    <n v="195"/>
    <s v="No"/>
    <s v="Normal"/>
    <s v="LV Hypertrophy"/>
    <n v="156"/>
    <s v="Yes"/>
    <s v="Yes"/>
    <s v="High Risk"/>
    <n v="1.25"/>
  </r>
  <r>
    <s v="P1212"/>
    <x v="212"/>
    <x v="21"/>
    <s v="High"/>
    <x v="0"/>
    <s v="F77"/>
    <x v="3"/>
    <n v="12"/>
    <n v="137"/>
    <s v="Pre-High BP"/>
    <n v="318"/>
    <s v="Yes"/>
    <s v="Diabetic Risk"/>
    <s v="ST-T Abnormality"/>
    <n v="143"/>
    <s v="Yes"/>
    <s v="No"/>
    <s v="No Risk"/>
    <n v="2.2237762237762237"/>
  </r>
  <r>
    <s v="P1213"/>
    <x v="213"/>
    <x v="19"/>
    <s v="Low"/>
    <x v="1"/>
    <s v="M40"/>
    <x v="0"/>
    <n v="11"/>
    <n v="179"/>
    <s v="High BP"/>
    <n v="262"/>
    <s v="No"/>
    <s v="Normal"/>
    <s v="LV Hypertrophy"/>
    <n v="99"/>
    <s v="Yes"/>
    <s v="No"/>
    <s v="No Risk"/>
    <n v="2.6464646464646466"/>
  </r>
  <r>
    <s v="P1214"/>
    <x v="214"/>
    <x v="0"/>
    <s v="High"/>
    <x v="1"/>
    <s v="M67"/>
    <x v="2"/>
    <n v="15"/>
    <n v="107"/>
    <s v="Normal"/>
    <n v="268"/>
    <s v="No"/>
    <s v="Normal"/>
    <s v="Normal"/>
    <n v="131"/>
    <s v="Yes"/>
    <s v="No"/>
    <s v="No Risk"/>
    <n v="2.0458015267175571"/>
  </r>
  <r>
    <s v="P1215"/>
    <x v="215"/>
    <x v="14"/>
    <s v="Low"/>
    <x v="1"/>
    <s v="M30"/>
    <x v="1"/>
    <n v="14"/>
    <n v="159"/>
    <s v="High BP"/>
    <n v="266"/>
    <s v="Yes"/>
    <s v="Diabetic Risk"/>
    <s v="Normal"/>
    <n v="153"/>
    <s v="No"/>
    <s v="Yes"/>
    <s v="No Risk"/>
    <n v="1.738562091503268"/>
  </r>
  <r>
    <s v="P1216"/>
    <x v="216"/>
    <x v="12"/>
    <s v="Low"/>
    <x v="1"/>
    <s v="M31"/>
    <x v="3"/>
    <n v="12"/>
    <n v="126"/>
    <s v="Pre-High BP"/>
    <n v="179"/>
    <s v="No"/>
    <s v="Normal"/>
    <s v="ST-T Abnormality"/>
    <n v="110"/>
    <s v="Yes"/>
    <s v="Yes"/>
    <s v="No Risk"/>
    <n v="1.6272727272727272"/>
  </r>
  <r>
    <s v="P1217"/>
    <x v="217"/>
    <x v="21"/>
    <s v="High"/>
    <x v="1"/>
    <s v="M77"/>
    <x v="0"/>
    <n v="11"/>
    <n v="149"/>
    <s v="High BP"/>
    <n v="212"/>
    <s v="Yes"/>
    <s v="Diabetic Risk"/>
    <s v="ST-T Abnormality"/>
    <n v="169"/>
    <s v="Yes"/>
    <s v="No"/>
    <s v="No Risk"/>
    <n v="1.2544378698224852"/>
  </r>
  <r>
    <s v="P1218"/>
    <x v="218"/>
    <x v="27"/>
    <s v="High"/>
    <x v="0"/>
    <s v="F65"/>
    <x v="2"/>
    <n v="15"/>
    <n v="137"/>
    <s v="Pre-High BP"/>
    <n v="336"/>
    <s v="Yes"/>
    <s v="Diabetic Risk"/>
    <s v="LV Hypertrophy"/>
    <n v="165"/>
    <s v="No"/>
    <s v="Yes"/>
    <s v="High Risk"/>
    <n v="2.0363636363636362"/>
  </r>
  <r>
    <s v="P1219"/>
    <x v="219"/>
    <x v="21"/>
    <s v="High"/>
    <x v="1"/>
    <s v="M77"/>
    <x v="1"/>
    <n v="14"/>
    <n v="166"/>
    <s v="High BP"/>
    <n v="280"/>
    <s v="Yes"/>
    <s v="Diabetic Risk"/>
    <s v="ST-T Abnormality"/>
    <n v="155"/>
    <s v="No"/>
    <s v="Yes"/>
    <s v="High Risk"/>
    <n v="1.8064516129032258"/>
  </r>
  <r>
    <s v="P1220"/>
    <x v="220"/>
    <x v="37"/>
    <s v="Medium"/>
    <x v="0"/>
    <s v="F45"/>
    <x v="2"/>
    <n v="15"/>
    <n v="117"/>
    <s v="Normal"/>
    <n v="168"/>
    <s v="Yes"/>
    <s v="Diabetic Risk"/>
    <s v="ST-T Abnormality"/>
    <n v="130"/>
    <s v="Yes"/>
    <s v="Yes"/>
    <s v="Medium Risk"/>
    <n v="1.2923076923076924"/>
  </r>
  <r>
    <s v="P1221"/>
    <x v="221"/>
    <x v="21"/>
    <s v="High"/>
    <x v="0"/>
    <s v="F77"/>
    <x v="0"/>
    <n v="11"/>
    <n v="158"/>
    <s v="High BP"/>
    <n v="343"/>
    <s v="No"/>
    <s v="Normal"/>
    <s v="Normal"/>
    <n v="113"/>
    <s v="No"/>
    <s v="No"/>
    <s v="No Risk"/>
    <n v="3.0353982300884956"/>
  </r>
  <r>
    <s v="P1222"/>
    <x v="222"/>
    <x v="14"/>
    <s v="Low"/>
    <x v="1"/>
    <s v="M30"/>
    <x v="1"/>
    <n v="14"/>
    <n v="166"/>
    <s v="High BP"/>
    <n v="154"/>
    <s v="Yes"/>
    <s v="Diabetic Risk"/>
    <s v="ST-T Abnormality"/>
    <n v="124"/>
    <s v="No"/>
    <s v="No"/>
    <s v="No Risk"/>
    <n v="1.2419354838709677"/>
  </r>
  <r>
    <s v="P1223"/>
    <x v="223"/>
    <x v="14"/>
    <s v="Low"/>
    <x v="1"/>
    <s v="M30"/>
    <x v="2"/>
    <n v="15"/>
    <n v="170"/>
    <s v="High BP"/>
    <n v="291"/>
    <s v="Yes"/>
    <s v="Diabetic Risk"/>
    <s v="ST-T Abnormality"/>
    <n v="145"/>
    <s v="Yes"/>
    <s v="Yes"/>
    <s v="No Risk"/>
    <n v="2.0068965517241377"/>
  </r>
  <r>
    <s v="P1224"/>
    <x v="224"/>
    <x v="24"/>
    <s v="Medium"/>
    <x v="0"/>
    <s v="F56"/>
    <x v="3"/>
    <n v="12"/>
    <n v="129"/>
    <s v="Pre-High BP"/>
    <n v="221"/>
    <s v="No"/>
    <s v="Normal"/>
    <s v="Normal"/>
    <n v="119"/>
    <s v="Yes"/>
    <s v="No"/>
    <s v="No Risk"/>
    <n v="1.8571428571428572"/>
  </r>
  <r>
    <s v="P1225"/>
    <x v="225"/>
    <x v="7"/>
    <s v="Medium"/>
    <x v="1"/>
    <s v="M51"/>
    <x v="1"/>
    <n v="14"/>
    <n v="134"/>
    <s v="Pre-High BP"/>
    <n v="337"/>
    <s v="Yes"/>
    <s v="Diabetic Risk"/>
    <s v="Normal"/>
    <n v="146"/>
    <s v="No"/>
    <s v="No"/>
    <s v="No Risk"/>
    <n v="2.3082191780821919"/>
  </r>
  <r>
    <s v="P1226"/>
    <x v="226"/>
    <x v="27"/>
    <s v="High"/>
    <x v="1"/>
    <s v="M65"/>
    <x v="2"/>
    <n v="15"/>
    <n v="185"/>
    <s v="High BP"/>
    <n v="130"/>
    <s v="Yes"/>
    <s v="Diabetic Risk"/>
    <s v="LV Hypertrophy"/>
    <n v="183"/>
    <s v="Yes"/>
    <s v="Yes"/>
    <s v="High Risk"/>
    <n v="0.7103825136612022"/>
  </r>
  <r>
    <s v="P1227"/>
    <x v="227"/>
    <x v="49"/>
    <s v="High"/>
    <x v="0"/>
    <s v="F60"/>
    <x v="0"/>
    <n v="11"/>
    <n v="151"/>
    <s v="High BP"/>
    <n v="218"/>
    <s v="No"/>
    <s v="Normal"/>
    <s v="ST-T Abnormality"/>
    <n v="136"/>
    <s v="Yes"/>
    <s v="Yes"/>
    <s v="High Risk"/>
    <n v="1.6029411764705883"/>
  </r>
  <r>
    <s v="P1228"/>
    <x v="228"/>
    <x v="18"/>
    <s v="High"/>
    <x v="0"/>
    <s v="F61"/>
    <x v="0"/>
    <n v="11"/>
    <n v="182"/>
    <s v="High BP"/>
    <n v="319"/>
    <s v="No"/>
    <s v="Normal"/>
    <s v="Normal"/>
    <n v="124"/>
    <s v="No"/>
    <s v="No"/>
    <s v="No Risk"/>
    <n v="2.5725806451612905"/>
  </r>
  <r>
    <s v="P1229"/>
    <x v="229"/>
    <x v="46"/>
    <e v="#N/A"/>
    <x v="1"/>
    <s v="M29"/>
    <x v="1"/>
    <n v="14"/>
    <n v="147"/>
    <s v="High BP"/>
    <n v="229"/>
    <s v="No"/>
    <s v="Normal"/>
    <s v="LV Hypertrophy"/>
    <n v="108"/>
    <s v="Yes"/>
    <s v="Yes"/>
    <s v="No Risk"/>
    <n v="2.1203703703703702"/>
  </r>
  <r>
    <s v="P1230"/>
    <x v="230"/>
    <x v="6"/>
    <s v="Medium"/>
    <x v="0"/>
    <s v="F47"/>
    <x v="2"/>
    <n v="15"/>
    <n v="156"/>
    <s v="High BP"/>
    <n v="325"/>
    <s v="No"/>
    <s v="Normal"/>
    <s v="LV Hypertrophy"/>
    <n v="203"/>
    <s v="Yes"/>
    <s v="No"/>
    <s v="No Risk"/>
    <n v="1.6009852216748768"/>
  </r>
  <r>
    <s v="P1231"/>
    <x v="231"/>
    <x v="14"/>
    <s v="Low"/>
    <x v="1"/>
    <s v="M30"/>
    <x v="1"/>
    <n v="14"/>
    <n v="145"/>
    <s v="High BP"/>
    <n v="193"/>
    <s v="No"/>
    <s v="Normal"/>
    <s v="ST-T Abnormality"/>
    <n v="97"/>
    <s v="Yes"/>
    <s v="No"/>
    <s v="No Risk"/>
    <n v="1.9896907216494846"/>
  </r>
  <r>
    <s v="P1232"/>
    <x v="232"/>
    <x v="15"/>
    <s v="High"/>
    <x v="1"/>
    <s v="M72"/>
    <x v="1"/>
    <n v="14"/>
    <n v="129"/>
    <s v="Pre-High BP"/>
    <n v="313"/>
    <s v="No"/>
    <s v="Normal"/>
    <s v="ST-T Abnormality"/>
    <n v="115"/>
    <s v="Yes"/>
    <s v="Yes"/>
    <s v="High Risk"/>
    <n v="2.7217391304347824"/>
  </r>
  <r>
    <s v="P1233"/>
    <x v="233"/>
    <x v="34"/>
    <s v="Medium"/>
    <x v="1"/>
    <s v="M54"/>
    <x v="2"/>
    <n v="15"/>
    <n v="187"/>
    <s v="High BP"/>
    <n v="293"/>
    <s v="No"/>
    <s v="Normal"/>
    <s v="LV Hypertrophy"/>
    <n v="202"/>
    <s v="Yes"/>
    <s v="No"/>
    <s v="No Risk"/>
    <n v="1.4504950495049505"/>
  </r>
  <r>
    <s v="P1234"/>
    <x v="234"/>
    <x v="49"/>
    <s v="High"/>
    <x v="0"/>
    <s v="F60"/>
    <x v="2"/>
    <n v="15"/>
    <n v="129"/>
    <s v="Pre-High BP"/>
    <n v="128"/>
    <s v="Yes"/>
    <s v="Diabetic Risk"/>
    <s v="Normal"/>
    <n v="193"/>
    <s v="No"/>
    <s v="No"/>
    <s v="No Risk"/>
    <n v="0.66321243523316065"/>
  </r>
  <r>
    <s v="P1235"/>
    <x v="235"/>
    <x v="38"/>
    <s v="Low"/>
    <x v="0"/>
    <s v="F34"/>
    <x v="3"/>
    <n v="12"/>
    <n v="180"/>
    <s v="High BP"/>
    <n v="122"/>
    <s v="No"/>
    <s v="Normal"/>
    <s v="LV Hypertrophy"/>
    <n v="160"/>
    <s v="No"/>
    <s v="Yes"/>
    <s v="No Risk"/>
    <n v="0.76249999999999996"/>
  </r>
  <r>
    <s v="P1236"/>
    <x v="236"/>
    <x v="49"/>
    <s v="High"/>
    <x v="0"/>
    <s v="F60"/>
    <x v="2"/>
    <n v="15"/>
    <n v="166"/>
    <s v="High BP"/>
    <n v="204"/>
    <s v="No"/>
    <s v="Normal"/>
    <s v="ST-T Abnormality"/>
    <n v="119"/>
    <s v="Yes"/>
    <s v="Yes"/>
    <s v="High Risk"/>
    <n v="1.7142857142857142"/>
  </r>
  <r>
    <s v="P1237"/>
    <x v="237"/>
    <x v="31"/>
    <s v="Low"/>
    <x v="0"/>
    <s v="F32"/>
    <x v="0"/>
    <n v="11"/>
    <n v="122"/>
    <s v="Pre-High BP"/>
    <n v="145"/>
    <s v="No"/>
    <s v="Normal"/>
    <s v="Normal"/>
    <n v="96"/>
    <s v="No"/>
    <s v="Yes"/>
    <s v="No Risk"/>
    <n v="1.5104166666666667"/>
  </r>
  <r>
    <s v="P1238"/>
    <x v="238"/>
    <x v="8"/>
    <s v="Low"/>
    <x v="0"/>
    <s v="F39"/>
    <x v="1"/>
    <n v="14"/>
    <n v="95"/>
    <s v="Normal"/>
    <n v="191"/>
    <s v="Yes"/>
    <s v="Diabetic Risk"/>
    <s v="Normal"/>
    <n v="156"/>
    <s v="Yes"/>
    <s v="No"/>
    <s v="No Risk"/>
    <n v="1.2243589743589745"/>
  </r>
  <r>
    <s v="P1239"/>
    <x v="239"/>
    <x v="37"/>
    <s v="Medium"/>
    <x v="1"/>
    <s v="M45"/>
    <x v="1"/>
    <n v="14"/>
    <n v="177"/>
    <s v="High BP"/>
    <n v="167"/>
    <s v="Yes"/>
    <s v="Diabetic Risk"/>
    <s v="LV Hypertrophy"/>
    <n v="154"/>
    <s v="Yes"/>
    <s v="Yes"/>
    <s v="Medium Risk"/>
    <n v="1.0844155844155845"/>
  </r>
  <r>
    <s v="P1240"/>
    <x v="240"/>
    <x v="17"/>
    <s v="High"/>
    <x v="1"/>
    <s v="M66"/>
    <x v="0"/>
    <n v="11"/>
    <n v="108"/>
    <s v="Normal"/>
    <n v="313"/>
    <s v="No"/>
    <s v="Normal"/>
    <s v="ST-T Abnormality"/>
    <n v="125"/>
    <s v="Yes"/>
    <s v="Yes"/>
    <s v="High Risk"/>
    <n v="2.504"/>
  </r>
  <r>
    <s v="P1241"/>
    <x v="241"/>
    <x v="9"/>
    <s v="Medium"/>
    <x v="1"/>
    <s v="M52"/>
    <x v="2"/>
    <n v="15"/>
    <n v="169"/>
    <s v="High BP"/>
    <n v="317"/>
    <s v="No"/>
    <s v="Normal"/>
    <s v="LV Hypertrophy"/>
    <n v="114"/>
    <s v="Yes"/>
    <s v="Yes"/>
    <s v="Medium Risk"/>
    <n v="2.7807017543859649"/>
  </r>
  <r>
    <s v="P1242"/>
    <x v="242"/>
    <x v="47"/>
    <s v="Low"/>
    <x v="1"/>
    <s v="M33"/>
    <x v="0"/>
    <n v="11"/>
    <n v="129"/>
    <s v="Pre-High BP"/>
    <n v="275"/>
    <s v="No"/>
    <s v="Normal"/>
    <s v="LV Hypertrophy"/>
    <n v="126"/>
    <s v="Yes"/>
    <s v="Yes"/>
    <s v="No Risk"/>
    <n v="2.1825396825396823"/>
  </r>
  <r>
    <s v="P1243"/>
    <x v="243"/>
    <x v="40"/>
    <s v="High"/>
    <x v="0"/>
    <s v="F62"/>
    <x v="0"/>
    <n v="11"/>
    <n v="181"/>
    <s v="High BP"/>
    <n v="236"/>
    <s v="Yes"/>
    <s v="Diabetic Risk"/>
    <s v="LV Hypertrophy"/>
    <n v="90"/>
    <s v="No"/>
    <s v="No"/>
    <s v="No Risk"/>
    <n v="2.6222222222222222"/>
  </r>
  <r>
    <s v="P1244"/>
    <x v="244"/>
    <x v="38"/>
    <s v="Low"/>
    <x v="1"/>
    <s v="M34"/>
    <x v="3"/>
    <n v="12"/>
    <n v="186"/>
    <s v="High BP"/>
    <n v="340"/>
    <s v="Yes"/>
    <s v="Diabetic Risk"/>
    <s v="Normal"/>
    <n v="104"/>
    <s v="No"/>
    <s v="No"/>
    <s v="No Risk"/>
    <n v="3.2692307692307692"/>
  </r>
  <r>
    <s v="P1245"/>
    <x v="245"/>
    <x v="13"/>
    <s v="Medium"/>
    <x v="0"/>
    <s v="F50"/>
    <x v="0"/>
    <n v="11"/>
    <n v="148"/>
    <s v="High BP"/>
    <n v="273"/>
    <s v="No"/>
    <s v="Normal"/>
    <s v="Normal"/>
    <n v="126"/>
    <s v="Yes"/>
    <s v="Yes"/>
    <s v="Medium Risk"/>
    <n v="2.1666666666666665"/>
  </r>
  <r>
    <s v="P1246"/>
    <x v="246"/>
    <x v="8"/>
    <s v="Low"/>
    <x v="1"/>
    <s v="M39"/>
    <x v="1"/>
    <n v="14"/>
    <n v="148"/>
    <s v="High BP"/>
    <n v="272"/>
    <s v="Yes"/>
    <s v="Diabetic Risk"/>
    <s v="ST-T Abnormality"/>
    <n v="102"/>
    <s v="No"/>
    <s v="No"/>
    <s v="No Risk"/>
    <n v="2.6666666666666665"/>
  </r>
  <r>
    <s v="P1247"/>
    <x v="247"/>
    <x v="43"/>
    <s v="High"/>
    <x v="0"/>
    <s v="F76"/>
    <x v="0"/>
    <n v="11"/>
    <n v="137"/>
    <s v="Pre-High BP"/>
    <n v="131"/>
    <s v="No"/>
    <s v="Normal"/>
    <s v="ST-T Abnormality"/>
    <n v="193"/>
    <s v="Yes"/>
    <s v="Yes"/>
    <s v="High Risk"/>
    <n v="0.67875647668393779"/>
  </r>
  <r>
    <s v="P1248"/>
    <x v="248"/>
    <x v="1"/>
    <s v="Low"/>
    <x v="0"/>
    <s v="F44"/>
    <x v="1"/>
    <n v="14"/>
    <n v="130"/>
    <s v="Pre-High BP"/>
    <n v="252"/>
    <s v="Yes"/>
    <s v="Diabetic Risk"/>
    <s v="LV Hypertrophy"/>
    <n v="97"/>
    <s v="No"/>
    <s v="Yes"/>
    <s v="No Risk"/>
    <n v="2.597938144329897"/>
  </r>
  <r>
    <s v="P1249"/>
    <x v="249"/>
    <x v="18"/>
    <s v="High"/>
    <x v="1"/>
    <s v="M61"/>
    <x v="1"/>
    <n v="14"/>
    <n v="102"/>
    <s v="Normal"/>
    <n v="345"/>
    <s v="Yes"/>
    <s v="Diabetic Risk"/>
    <s v="LV Hypertrophy"/>
    <n v="94"/>
    <s v="Yes"/>
    <s v="No"/>
    <s v="No Risk"/>
    <n v="3.6702127659574466"/>
  </r>
  <r>
    <s v="P1250"/>
    <x v="250"/>
    <x v="29"/>
    <s v="Low"/>
    <x v="1"/>
    <s v="M37"/>
    <x v="1"/>
    <n v="14"/>
    <n v="134"/>
    <s v="Pre-High BP"/>
    <n v="167"/>
    <s v="No"/>
    <s v="Normal"/>
    <s v="LV Hypertrophy"/>
    <n v="149"/>
    <s v="No"/>
    <s v="No"/>
    <s v="No Risk"/>
    <n v="1.1208053691275168"/>
  </r>
  <r>
    <s v="P1251"/>
    <x v="251"/>
    <x v="38"/>
    <s v="Low"/>
    <x v="1"/>
    <s v="M34"/>
    <x v="2"/>
    <n v="15"/>
    <n v="178"/>
    <s v="High BP"/>
    <n v="156"/>
    <s v="No"/>
    <s v="Normal"/>
    <s v="ST-T Abnormality"/>
    <n v="162"/>
    <s v="Yes"/>
    <s v="Yes"/>
    <s v="No Risk"/>
    <n v="0.96296296296296291"/>
  </r>
  <r>
    <s v="P1252"/>
    <x v="252"/>
    <x v="1"/>
    <s v="Low"/>
    <x v="1"/>
    <s v="M44"/>
    <x v="3"/>
    <n v="12"/>
    <n v="142"/>
    <s v="High BP"/>
    <n v="326"/>
    <s v="No"/>
    <s v="Normal"/>
    <s v="Normal"/>
    <n v="90"/>
    <s v="Yes"/>
    <s v="Yes"/>
    <s v="No Risk"/>
    <n v="3.6222222222222222"/>
  </r>
  <r>
    <s v="P1253"/>
    <x v="253"/>
    <x v="39"/>
    <s v="Medium"/>
    <x v="0"/>
    <s v="F57"/>
    <x v="1"/>
    <n v="14"/>
    <n v="131"/>
    <s v="Pre-High BP"/>
    <n v="163"/>
    <s v="No"/>
    <s v="Normal"/>
    <s v="Normal"/>
    <n v="125"/>
    <s v="No"/>
    <s v="No"/>
    <s v="No Risk"/>
    <n v="1.304"/>
  </r>
  <r>
    <s v="P1254"/>
    <x v="254"/>
    <x v="12"/>
    <s v="Low"/>
    <x v="1"/>
    <s v="M31"/>
    <x v="1"/>
    <n v="14"/>
    <n v="189"/>
    <s v="High BP"/>
    <n v="347"/>
    <s v="Yes"/>
    <s v="Diabetic Risk"/>
    <s v="LV Hypertrophy"/>
    <n v="124"/>
    <s v="No"/>
    <s v="Yes"/>
    <s v="No Risk"/>
    <n v="2.7983870967741935"/>
  </r>
  <r>
    <s v="P1255"/>
    <x v="255"/>
    <x v="35"/>
    <s v="Medium"/>
    <x v="1"/>
    <s v="M48"/>
    <x v="2"/>
    <n v="15"/>
    <n v="152"/>
    <s v="High BP"/>
    <n v="134"/>
    <s v="Yes"/>
    <s v="Diabetic Risk"/>
    <s v="LV Hypertrophy"/>
    <n v="155"/>
    <s v="Yes"/>
    <s v="No"/>
    <s v="No Risk"/>
    <n v="0.86451612903225805"/>
  </r>
  <r>
    <s v="P1256"/>
    <x v="256"/>
    <x v="10"/>
    <s v="High"/>
    <x v="0"/>
    <s v="F64"/>
    <x v="1"/>
    <n v="14"/>
    <n v="116"/>
    <s v="Normal"/>
    <n v="162"/>
    <s v="Yes"/>
    <s v="Diabetic Risk"/>
    <s v="LV Hypertrophy"/>
    <n v="152"/>
    <s v="No"/>
    <s v="Yes"/>
    <s v="High Risk"/>
    <n v="1.0657894736842106"/>
  </r>
  <r>
    <s v="P1257"/>
    <x v="257"/>
    <x v="6"/>
    <s v="Medium"/>
    <x v="1"/>
    <s v="M47"/>
    <x v="0"/>
    <n v="11"/>
    <n v="127"/>
    <s v="Pre-High BP"/>
    <n v="295"/>
    <s v="No"/>
    <s v="Normal"/>
    <s v="LV Hypertrophy"/>
    <n v="193"/>
    <s v="Yes"/>
    <s v="Yes"/>
    <s v="Medium Risk"/>
    <n v="1.528497409326425"/>
  </r>
  <r>
    <s v="P1258"/>
    <x v="258"/>
    <x v="34"/>
    <s v="Medium"/>
    <x v="1"/>
    <s v="M54"/>
    <x v="0"/>
    <n v="11"/>
    <n v="149"/>
    <s v="High BP"/>
    <n v="206"/>
    <s v="Yes"/>
    <s v="Diabetic Risk"/>
    <s v="ST-T Abnormality"/>
    <n v="112"/>
    <s v="No"/>
    <s v="No"/>
    <s v="No Risk"/>
    <n v="1.8392857142857142"/>
  </r>
  <r>
    <s v="P1259"/>
    <x v="259"/>
    <x v="12"/>
    <s v="Low"/>
    <x v="1"/>
    <s v="M31"/>
    <x v="3"/>
    <n v="12"/>
    <n v="96"/>
    <s v="Normal"/>
    <n v="189"/>
    <s v="No"/>
    <s v="Normal"/>
    <s v="Normal"/>
    <n v="98"/>
    <s v="No"/>
    <s v="No"/>
    <s v="No Risk"/>
    <n v="1.9285714285714286"/>
  </r>
  <r>
    <s v="P1260"/>
    <x v="260"/>
    <x v="6"/>
    <s v="Medium"/>
    <x v="1"/>
    <s v="M47"/>
    <x v="1"/>
    <n v="14"/>
    <n v="94"/>
    <s v="Normal"/>
    <n v="165"/>
    <s v="Yes"/>
    <s v="Diabetic Risk"/>
    <s v="LV Hypertrophy"/>
    <n v="123"/>
    <s v="Yes"/>
    <s v="No"/>
    <s v="No Risk"/>
    <n v="1.3414634146341464"/>
  </r>
  <r>
    <s v="P1261"/>
    <x v="261"/>
    <x v="35"/>
    <s v="Medium"/>
    <x v="1"/>
    <s v="M48"/>
    <x v="2"/>
    <n v="15"/>
    <n v="134"/>
    <s v="Pre-High BP"/>
    <n v="227"/>
    <s v="No"/>
    <s v="Normal"/>
    <s v="ST-T Abnormality"/>
    <n v="135"/>
    <s v="No"/>
    <s v="No"/>
    <s v="No Risk"/>
    <n v="1.6814814814814816"/>
  </r>
  <r>
    <s v="P1262"/>
    <x v="262"/>
    <x v="49"/>
    <s v="High"/>
    <x v="0"/>
    <s v="F60"/>
    <x v="0"/>
    <n v="11"/>
    <n v="147"/>
    <s v="High BP"/>
    <n v="242"/>
    <s v="No"/>
    <s v="Normal"/>
    <s v="LV Hypertrophy"/>
    <n v="167"/>
    <s v="No"/>
    <s v="No"/>
    <s v="No Risk"/>
    <n v="1.4491017964071857"/>
  </r>
  <r>
    <s v="P1263"/>
    <x v="263"/>
    <x v="28"/>
    <s v="Low"/>
    <x v="1"/>
    <s v="M35"/>
    <x v="2"/>
    <n v="15"/>
    <n v="120"/>
    <s v="Normal"/>
    <n v="290"/>
    <s v="Yes"/>
    <s v="Diabetic Risk"/>
    <s v="LV Hypertrophy"/>
    <n v="93"/>
    <s v="Yes"/>
    <s v="No"/>
    <s v="No Risk"/>
    <n v="3.118279569892473"/>
  </r>
  <r>
    <s v="P1264"/>
    <x v="264"/>
    <x v="45"/>
    <s v="High"/>
    <x v="1"/>
    <s v="M69"/>
    <x v="2"/>
    <n v="15"/>
    <n v="112"/>
    <s v="Normal"/>
    <n v="140"/>
    <s v="No"/>
    <s v="Normal"/>
    <s v="Normal"/>
    <n v="119"/>
    <s v="No"/>
    <s v="No"/>
    <s v="No Risk"/>
    <n v="1.1764705882352942"/>
  </r>
  <r>
    <s v="P1265"/>
    <x v="265"/>
    <x v="18"/>
    <s v="High"/>
    <x v="1"/>
    <s v="M61"/>
    <x v="0"/>
    <n v="11"/>
    <n v="131"/>
    <s v="Pre-High BP"/>
    <n v="270"/>
    <s v="No"/>
    <s v="Normal"/>
    <s v="LV Hypertrophy"/>
    <n v="184"/>
    <s v="Yes"/>
    <s v="Yes"/>
    <s v="High Risk"/>
    <n v="1.4673913043478262"/>
  </r>
  <r>
    <s v="P1266"/>
    <x v="266"/>
    <x v="11"/>
    <s v="High"/>
    <x v="1"/>
    <s v="M68"/>
    <x v="2"/>
    <n v="15"/>
    <n v="99"/>
    <s v="Normal"/>
    <n v="226"/>
    <s v="Yes"/>
    <s v="Diabetic Risk"/>
    <s v="Normal"/>
    <n v="191"/>
    <s v="Yes"/>
    <s v="Yes"/>
    <s v="High Risk"/>
    <n v="1.1832460732984293"/>
  </r>
  <r>
    <s v="P1267"/>
    <x v="267"/>
    <x v="0"/>
    <s v="High"/>
    <x v="1"/>
    <s v="M67"/>
    <x v="0"/>
    <n v="11"/>
    <n v="121"/>
    <s v="Pre-High BP"/>
    <n v="199"/>
    <s v="No"/>
    <s v="Normal"/>
    <s v="Normal"/>
    <n v="164"/>
    <s v="Yes"/>
    <s v="Yes"/>
    <s v="High Risk"/>
    <n v="1.2134146341463414"/>
  </r>
  <r>
    <s v="P1268"/>
    <x v="268"/>
    <x v="30"/>
    <s v="Medium"/>
    <x v="0"/>
    <s v="F46"/>
    <x v="2"/>
    <n v="15"/>
    <n v="142"/>
    <s v="High BP"/>
    <n v="166"/>
    <s v="No"/>
    <s v="Normal"/>
    <s v="Normal"/>
    <n v="188"/>
    <s v="Yes"/>
    <s v="No"/>
    <s v="No Risk"/>
    <n v="0.88297872340425532"/>
  </r>
  <r>
    <s v="P1269"/>
    <x v="269"/>
    <x v="11"/>
    <s v="High"/>
    <x v="1"/>
    <s v="M68"/>
    <x v="0"/>
    <n v="11"/>
    <n v="119"/>
    <s v="Normal"/>
    <n v="236"/>
    <s v="No"/>
    <s v="Normal"/>
    <s v="ST-T Abnormality"/>
    <n v="161"/>
    <s v="Yes"/>
    <s v="No"/>
    <s v="No Risk"/>
    <n v="1.4658385093167703"/>
  </r>
  <r>
    <s v="P1270"/>
    <x v="270"/>
    <x v="46"/>
    <e v="#N/A"/>
    <x v="0"/>
    <s v="F29"/>
    <x v="1"/>
    <n v="14"/>
    <n v="128"/>
    <s v="Pre-High BP"/>
    <n v="243"/>
    <s v="Yes"/>
    <s v="Diabetic Risk"/>
    <s v="ST-T Abnormality"/>
    <n v="92"/>
    <s v="No"/>
    <s v="No"/>
    <s v="No Risk"/>
    <n v="2.6413043478260869"/>
  </r>
  <r>
    <s v="P1271"/>
    <x v="271"/>
    <x v="8"/>
    <s v="Low"/>
    <x v="0"/>
    <s v="F39"/>
    <x v="3"/>
    <n v="12"/>
    <n v="120"/>
    <s v="Normal"/>
    <n v="262"/>
    <s v="Yes"/>
    <s v="Diabetic Risk"/>
    <s v="Normal"/>
    <n v="103"/>
    <s v="Yes"/>
    <s v="Yes"/>
    <s v="No Risk"/>
    <n v="2.5436893203883497"/>
  </r>
  <r>
    <s v="P1272"/>
    <x v="272"/>
    <x v="24"/>
    <s v="Medium"/>
    <x v="1"/>
    <s v="M56"/>
    <x v="0"/>
    <n v="11"/>
    <n v="171"/>
    <s v="High BP"/>
    <n v="144"/>
    <s v="No"/>
    <s v="Normal"/>
    <s v="LV Hypertrophy"/>
    <n v="149"/>
    <s v="Yes"/>
    <s v="No"/>
    <s v="No Risk"/>
    <n v="0.96644295302013428"/>
  </r>
  <r>
    <s v="P1273"/>
    <x v="273"/>
    <x v="20"/>
    <s v="Medium"/>
    <x v="1"/>
    <s v="M53"/>
    <x v="0"/>
    <n v="11"/>
    <n v="189"/>
    <s v="High BP"/>
    <n v="155"/>
    <s v="Yes"/>
    <s v="Diabetic Risk"/>
    <s v="Normal"/>
    <n v="166"/>
    <s v="No"/>
    <s v="No"/>
    <s v="No Risk"/>
    <n v="0.9337349397590361"/>
  </r>
  <r>
    <s v="P1274"/>
    <x v="274"/>
    <x v="33"/>
    <s v="High"/>
    <x v="1"/>
    <s v="M78"/>
    <x v="3"/>
    <n v="12"/>
    <n v="91"/>
    <s v="Normal"/>
    <n v="322"/>
    <s v="No"/>
    <s v="Normal"/>
    <s v="LV Hypertrophy"/>
    <n v="134"/>
    <s v="No"/>
    <s v="Yes"/>
    <s v="High Risk"/>
    <n v="2.4029850746268657"/>
  </r>
  <r>
    <s v="P1275"/>
    <x v="275"/>
    <x v="7"/>
    <s v="Medium"/>
    <x v="1"/>
    <s v="M51"/>
    <x v="0"/>
    <n v="11"/>
    <n v="167"/>
    <s v="High BP"/>
    <n v="170"/>
    <s v="No"/>
    <s v="Normal"/>
    <s v="Normal"/>
    <n v="185"/>
    <s v="No"/>
    <s v="No"/>
    <s v="No Risk"/>
    <n v="0.91891891891891897"/>
  </r>
  <r>
    <s v="P1276"/>
    <x v="276"/>
    <x v="42"/>
    <s v="Medium"/>
    <x v="0"/>
    <s v="F59"/>
    <x v="0"/>
    <n v="11"/>
    <n v="166"/>
    <s v="High BP"/>
    <n v="134"/>
    <s v="No"/>
    <s v="Normal"/>
    <s v="LV Hypertrophy"/>
    <n v="123"/>
    <s v="Yes"/>
    <s v="Yes"/>
    <s v="Medium Risk"/>
    <n v="1.089430894308943"/>
  </r>
  <r>
    <s v="P1277"/>
    <x v="277"/>
    <x v="16"/>
    <s v="Medium"/>
    <x v="1"/>
    <s v="M58"/>
    <x v="2"/>
    <n v="15"/>
    <n v="182"/>
    <s v="High BP"/>
    <n v="187"/>
    <s v="No"/>
    <s v="Normal"/>
    <s v="ST-T Abnormality"/>
    <n v="134"/>
    <s v="Yes"/>
    <s v="Yes"/>
    <s v="Medium Risk"/>
    <n v="1.3955223880597014"/>
  </r>
  <r>
    <s v="P1278"/>
    <x v="278"/>
    <x v="23"/>
    <s v="High"/>
    <x v="1"/>
    <s v="M70"/>
    <x v="3"/>
    <n v="12"/>
    <n v="101"/>
    <s v="Normal"/>
    <n v="140"/>
    <s v="No"/>
    <s v="Normal"/>
    <s v="LV Hypertrophy"/>
    <n v="150"/>
    <s v="Yes"/>
    <s v="No"/>
    <s v="No Risk"/>
    <n v="0.93333333333333335"/>
  </r>
  <r>
    <s v="P1279"/>
    <x v="279"/>
    <x v="36"/>
    <s v="High"/>
    <x v="1"/>
    <s v="M63"/>
    <x v="1"/>
    <n v="14"/>
    <n v="128"/>
    <s v="Pre-High BP"/>
    <n v="260"/>
    <s v="Yes"/>
    <s v="Diabetic Risk"/>
    <s v="Normal"/>
    <n v="172"/>
    <s v="No"/>
    <s v="No"/>
    <s v="No Risk"/>
    <n v="1.5116279069767442"/>
  </r>
  <r>
    <s v="P1280"/>
    <x v="280"/>
    <x v="28"/>
    <s v="Low"/>
    <x v="1"/>
    <s v="M35"/>
    <x v="0"/>
    <n v="11"/>
    <n v="155"/>
    <s v="High BP"/>
    <n v="333"/>
    <s v="No"/>
    <s v="Normal"/>
    <s v="ST-T Abnormality"/>
    <n v="191"/>
    <s v="Yes"/>
    <s v="No"/>
    <s v="No Risk"/>
    <n v="1.743455497382199"/>
  </r>
  <r>
    <s v="P1281"/>
    <x v="281"/>
    <x v="1"/>
    <s v="Low"/>
    <x v="1"/>
    <s v="M44"/>
    <x v="3"/>
    <n v="12"/>
    <n v="185"/>
    <s v="High BP"/>
    <n v="138"/>
    <s v="Yes"/>
    <s v="Diabetic Risk"/>
    <s v="LV Hypertrophy"/>
    <n v="105"/>
    <s v="No"/>
    <s v="Yes"/>
    <s v="No Risk"/>
    <n v="1.3142857142857143"/>
  </r>
  <r>
    <s v="P1282"/>
    <x v="282"/>
    <x v="34"/>
    <s v="Medium"/>
    <x v="1"/>
    <s v="M54"/>
    <x v="2"/>
    <n v="15"/>
    <n v="102"/>
    <s v="Normal"/>
    <n v="153"/>
    <s v="Yes"/>
    <s v="Diabetic Risk"/>
    <s v="LV Hypertrophy"/>
    <n v="155"/>
    <s v="Yes"/>
    <s v="Yes"/>
    <s v="Medium Risk"/>
    <n v="0.98709677419354835"/>
  </r>
  <r>
    <s v="P1283"/>
    <x v="283"/>
    <x v="43"/>
    <s v="High"/>
    <x v="0"/>
    <s v="F76"/>
    <x v="1"/>
    <n v="14"/>
    <n v="135"/>
    <s v="Pre-High BP"/>
    <n v="197"/>
    <s v="No"/>
    <s v="Normal"/>
    <s v="LV Hypertrophy"/>
    <n v="129"/>
    <s v="No"/>
    <s v="Yes"/>
    <s v="High Risk"/>
    <n v="1.5271317829457365"/>
  </r>
  <r>
    <s v="P1284"/>
    <x v="284"/>
    <x v="21"/>
    <s v="High"/>
    <x v="0"/>
    <s v="F77"/>
    <x v="3"/>
    <n v="12"/>
    <n v="116"/>
    <s v="Normal"/>
    <n v="244"/>
    <s v="No"/>
    <s v="Normal"/>
    <s v="LV Hypertrophy"/>
    <n v="106"/>
    <s v="Yes"/>
    <s v="No"/>
    <s v="No Risk"/>
    <n v="2.3018867924528301"/>
  </r>
  <r>
    <s v="P1285"/>
    <x v="285"/>
    <x v="14"/>
    <s v="Low"/>
    <x v="1"/>
    <s v="M30"/>
    <x v="1"/>
    <n v="14"/>
    <n v="106"/>
    <s v="Normal"/>
    <n v="315"/>
    <s v="Yes"/>
    <s v="Diabetic Risk"/>
    <s v="LV Hypertrophy"/>
    <n v="208"/>
    <s v="Yes"/>
    <s v="No"/>
    <s v="No Risk"/>
    <n v="1.5144230769230769"/>
  </r>
  <r>
    <s v="P1286"/>
    <x v="286"/>
    <x v="46"/>
    <e v="#N/A"/>
    <x v="1"/>
    <s v="M29"/>
    <x v="1"/>
    <n v="14"/>
    <n v="184"/>
    <s v="High BP"/>
    <n v="236"/>
    <s v="Yes"/>
    <s v="Diabetic Risk"/>
    <s v="ST-T Abnormality"/>
    <n v="123"/>
    <s v="Yes"/>
    <s v="No"/>
    <s v="No Risk"/>
    <n v="1.9186991869918699"/>
  </r>
  <r>
    <s v="P1287"/>
    <x v="287"/>
    <x v="43"/>
    <s v="High"/>
    <x v="1"/>
    <s v="M76"/>
    <x v="1"/>
    <n v="14"/>
    <n v="187"/>
    <s v="High BP"/>
    <n v="171"/>
    <s v="Yes"/>
    <s v="Diabetic Risk"/>
    <s v="ST-T Abnormality"/>
    <n v="195"/>
    <s v="No"/>
    <s v="No"/>
    <s v="No Risk"/>
    <n v="0.87692307692307692"/>
  </r>
  <r>
    <s v="P1288"/>
    <x v="288"/>
    <x v="19"/>
    <s v="Low"/>
    <x v="0"/>
    <s v="F40"/>
    <x v="0"/>
    <n v="11"/>
    <n v="149"/>
    <s v="High BP"/>
    <n v="146"/>
    <s v="No"/>
    <s v="Normal"/>
    <s v="ST-T Abnormality"/>
    <n v="105"/>
    <s v="No"/>
    <s v="Yes"/>
    <s v="No Risk"/>
    <n v="1.3904761904761904"/>
  </r>
  <r>
    <s v="P1289"/>
    <x v="289"/>
    <x v="47"/>
    <s v="Low"/>
    <x v="1"/>
    <s v="M33"/>
    <x v="0"/>
    <n v="11"/>
    <n v="153"/>
    <s v="High BP"/>
    <n v="276"/>
    <s v="Yes"/>
    <s v="Diabetic Risk"/>
    <s v="ST-T Abnormality"/>
    <n v="191"/>
    <s v="Yes"/>
    <s v="Yes"/>
    <s v="No Risk"/>
    <n v="1.4450261780104712"/>
  </r>
  <r>
    <s v="P1290"/>
    <x v="290"/>
    <x v="27"/>
    <s v="High"/>
    <x v="0"/>
    <s v="F65"/>
    <x v="2"/>
    <n v="15"/>
    <n v="177"/>
    <s v="High BP"/>
    <n v="275"/>
    <s v="No"/>
    <s v="Normal"/>
    <s v="Normal"/>
    <n v="149"/>
    <s v="Yes"/>
    <s v="Yes"/>
    <s v="High Risk"/>
    <n v="1.8456375838926173"/>
  </r>
  <r>
    <s v="P1291"/>
    <x v="291"/>
    <x v="49"/>
    <s v="High"/>
    <x v="1"/>
    <s v="M60"/>
    <x v="2"/>
    <n v="15"/>
    <n v="124"/>
    <s v="Pre-High BP"/>
    <n v="154"/>
    <s v="No"/>
    <s v="Normal"/>
    <s v="ST-T Abnormality"/>
    <n v="155"/>
    <s v="Yes"/>
    <s v="Yes"/>
    <s v="High Risk"/>
    <n v="0.99354838709677418"/>
  </r>
  <r>
    <s v="P1292"/>
    <x v="292"/>
    <x v="29"/>
    <s v="Low"/>
    <x v="1"/>
    <s v="M37"/>
    <x v="3"/>
    <n v="12"/>
    <n v="159"/>
    <s v="High BP"/>
    <n v="255"/>
    <s v="No"/>
    <s v="Normal"/>
    <s v="LV Hypertrophy"/>
    <n v="155"/>
    <s v="No"/>
    <s v="No"/>
    <s v="No Risk"/>
    <n v="1.6451612903225807"/>
  </r>
  <r>
    <s v="P1293"/>
    <x v="293"/>
    <x v="45"/>
    <s v="High"/>
    <x v="1"/>
    <s v="M69"/>
    <x v="2"/>
    <n v="15"/>
    <n v="172"/>
    <s v="High BP"/>
    <n v="263"/>
    <s v="Yes"/>
    <s v="Diabetic Risk"/>
    <s v="LV Hypertrophy"/>
    <n v="179"/>
    <s v="Yes"/>
    <s v="No"/>
    <s v="No Risk"/>
    <n v="1.4692737430167597"/>
  </r>
  <r>
    <s v="P1294"/>
    <x v="294"/>
    <x v="36"/>
    <s v="High"/>
    <x v="1"/>
    <s v="M63"/>
    <x v="1"/>
    <n v="14"/>
    <n v="119"/>
    <s v="Normal"/>
    <n v="225"/>
    <s v="No"/>
    <s v="Normal"/>
    <s v="ST-T Abnormality"/>
    <n v="102"/>
    <s v="Yes"/>
    <s v="No"/>
    <s v="No Risk"/>
    <n v="2.2058823529411766"/>
  </r>
  <r>
    <s v="P1295"/>
    <x v="295"/>
    <x v="6"/>
    <s v="Medium"/>
    <x v="0"/>
    <s v="F47"/>
    <x v="1"/>
    <n v="14"/>
    <n v="160"/>
    <s v="High BP"/>
    <n v="283"/>
    <s v="No"/>
    <s v="Normal"/>
    <s v="LV Hypertrophy"/>
    <n v="145"/>
    <s v="Yes"/>
    <s v="Yes"/>
    <s v="Medium Risk"/>
    <n v="1.9517241379310344"/>
  </r>
  <r>
    <s v="P1296"/>
    <x v="296"/>
    <x v="43"/>
    <s v="High"/>
    <x v="0"/>
    <s v="F76"/>
    <x v="0"/>
    <n v="11"/>
    <n v="163"/>
    <s v="High BP"/>
    <n v="277"/>
    <s v="No"/>
    <s v="Normal"/>
    <s v="ST-T Abnormality"/>
    <n v="200"/>
    <s v="Yes"/>
    <s v="Yes"/>
    <s v="High Risk"/>
    <n v="1.385"/>
  </r>
  <r>
    <s v="P1297"/>
    <x v="297"/>
    <x v="1"/>
    <s v="Low"/>
    <x v="1"/>
    <s v="M44"/>
    <x v="1"/>
    <n v="14"/>
    <n v="185"/>
    <s v="High BP"/>
    <n v="265"/>
    <s v="No"/>
    <s v="Normal"/>
    <s v="LV Hypertrophy"/>
    <n v="120"/>
    <s v="No"/>
    <s v="No"/>
    <s v="No Risk"/>
    <n v="2.2083333333333335"/>
  </r>
  <r>
    <s v="P1298"/>
    <x v="298"/>
    <x v="12"/>
    <s v="Low"/>
    <x v="1"/>
    <s v="M31"/>
    <x v="3"/>
    <n v="12"/>
    <n v="187"/>
    <s v="High BP"/>
    <n v="121"/>
    <s v="No"/>
    <s v="Normal"/>
    <s v="Normal"/>
    <n v="123"/>
    <s v="No"/>
    <s v="No"/>
    <s v="No Risk"/>
    <n v="0.98373983739837401"/>
  </r>
  <r>
    <s v="P1299"/>
    <x v="299"/>
    <x v="35"/>
    <s v="Medium"/>
    <x v="0"/>
    <s v="F48"/>
    <x v="1"/>
    <n v="14"/>
    <n v="152"/>
    <s v="High BP"/>
    <n v="296"/>
    <s v="Yes"/>
    <s v="Diabetic Risk"/>
    <s v="Normal"/>
    <n v="128"/>
    <s v="Yes"/>
    <s v="Yes"/>
    <s v="Medium Risk"/>
    <n v="2.3125"/>
  </r>
  <r>
    <s v="P1300"/>
    <x v="300"/>
    <x v="9"/>
    <s v="Medium"/>
    <x v="0"/>
    <s v="F52"/>
    <x v="1"/>
    <n v="14"/>
    <n v="117"/>
    <s v="Normal"/>
    <n v="196"/>
    <s v="No"/>
    <s v="Normal"/>
    <s v="ST-T Abnormality"/>
    <n v="156"/>
    <s v="Yes"/>
    <s v="No"/>
    <s v="No Risk"/>
    <n v="1.2564102564102564"/>
  </r>
  <r>
    <s v="P1301"/>
    <x v="301"/>
    <x v="18"/>
    <s v="High"/>
    <x v="0"/>
    <s v="F61"/>
    <x v="3"/>
    <n v="12"/>
    <n v="149"/>
    <s v="High BP"/>
    <n v="251"/>
    <s v="No"/>
    <s v="Normal"/>
    <s v="ST-T Abnormality"/>
    <n v="97"/>
    <s v="No"/>
    <s v="Yes"/>
    <s v="High Risk"/>
    <n v="2.5876288659793816"/>
  </r>
  <r>
    <s v="P1302"/>
    <x v="302"/>
    <x v="9"/>
    <s v="Medium"/>
    <x v="0"/>
    <s v="F52"/>
    <x v="2"/>
    <n v="15"/>
    <n v="168"/>
    <s v="High BP"/>
    <n v="209"/>
    <s v="Yes"/>
    <s v="Diabetic Risk"/>
    <s v="ST-T Abnormality"/>
    <n v="176"/>
    <s v="No"/>
    <s v="Yes"/>
    <s v="Medium Risk"/>
    <n v="1.1875"/>
  </r>
  <r>
    <s v="P1303"/>
    <x v="303"/>
    <x v="8"/>
    <s v="Low"/>
    <x v="1"/>
    <s v="M39"/>
    <x v="2"/>
    <n v="15"/>
    <n v="183"/>
    <s v="High BP"/>
    <n v="208"/>
    <s v="No"/>
    <s v="Normal"/>
    <s v="LV Hypertrophy"/>
    <n v="167"/>
    <s v="Yes"/>
    <s v="Yes"/>
    <s v="No Risk"/>
    <n v="1.2455089820359282"/>
  </r>
  <r>
    <s v="P1304"/>
    <x v="304"/>
    <x v="21"/>
    <s v="High"/>
    <x v="0"/>
    <s v="F77"/>
    <x v="3"/>
    <n v="12"/>
    <n v="126"/>
    <s v="Pre-High BP"/>
    <n v="213"/>
    <s v="Yes"/>
    <s v="Diabetic Risk"/>
    <s v="ST-T Abnormality"/>
    <n v="209"/>
    <s v="No"/>
    <s v="No"/>
    <s v="No Risk"/>
    <n v="1.0191387559808613"/>
  </r>
  <r>
    <s v="P1305"/>
    <x v="305"/>
    <x v="4"/>
    <s v="Low"/>
    <x v="1"/>
    <s v="M36"/>
    <x v="0"/>
    <n v="11"/>
    <n v="182"/>
    <s v="High BP"/>
    <n v="322"/>
    <s v="No"/>
    <s v="Normal"/>
    <s v="Normal"/>
    <n v="144"/>
    <s v="No"/>
    <s v="No"/>
    <s v="No Risk"/>
    <n v="2.2361111111111112"/>
  </r>
  <r>
    <s v="P1306"/>
    <x v="306"/>
    <x v="10"/>
    <s v="High"/>
    <x v="0"/>
    <s v="F64"/>
    <x v="1"/>
    <n v="14"/>
    <n v="111"/>
    <s v="Normal"/>
    <n v="126"/>
    <s v="Yes"/>
    <s v="Diabetic Risk"/>
    <s v="LV Hypertrophy"/>
    <n v="116"/>
    <s v="Yes"/>
    <s v="Yes"/>
    <s v="High Risk"/>
    <n v="1.0862068965517242"/>
  </r>
  <r>
    <s v="P1307"/>
    <x v="307"/>
    <x v="17"/>
    <s v="High"/>
    <x v="0"/>
    <s v="F66"/>
    <x v="3"/>
    <n v="12"/>
    <n v="157"/>
    <s v="High BP"/>
    <n v="214"/>
    <s v="Yes"/>
    <s v="Diabetic Risk"/>
    <s v="ST-T Abnormality"/>
    <n v="207"/>
    <s v="No"/>
    <s v="No"/>
    <s v="No Risk"/>
    <n v="1.0338164251207729"/>
  </r>
  <r>
    <s v="P1308"/>
    <x v="308"/>
    <x v="11"/>
    <s v="High"/>
    <x v="0"/>
    <s v="F68"/>
    <x v="1"/>
    <n v="14"/>
    <n v="109"/>
    <s v="Normal"/>
    <n v="227"/>
    <s v="No"/>
    <s v="Normal"/>
    <s v="LV Hypertrophy"/>
    <n v="182"/>
    <s v="No"/>
    <s v="Yes"/>
    <s v="High Risk"/>
    <n v="1.2472527472527473"/>
  </r>
  <r>
    <s v="P1309"/>
    <x v="309"/>
    <x v="35"/>
    <s v="Medium"/>
    <x v="0"/>
    <s v="F48"/>
    <x v="0"/>
    <n v="11"/>
    <n v="185"/>
    <s v="High BP"/>
    <n v="193"/>
    <s v="No"/>
    <s v="Normal"/>
    <s v="LV Hypertrophy"/>
    <n v="192"/>
    <s v="Yes"/>
    <s v="Yes"/>
    <s v="Medium Risk"/>
    <n v="1.0052083333333333"/>
  </r>
  <r>
    <s v="P1310"/>
    <x v="310"/>
    <x v="36"/>
    <s v="High"/>
    <x v="0"/>
    <s v="F63"/>
    <x v="1"/>
    <n v="14"/>
    <n v="189"/>
    <s v="High BP"/>
    <n v="158"/>
    <s v="No"/>
    <s v="Normal"/>
    <s v="ST-T Abnormality"/>
    <n v="142"/>
    <s v="Yes"/>
    <s v="Yes"/>
    <s v="High Risk"/>
    <n v="1.1126760563380282"/>
  </r>
  <r>
    <s v="P1311"/>
    <x v="311"/>
    <x v="43"/>
    <s v="High"/>
    <x v="1"/>
    <s v="M76"/>
    <x v="3"/>
    <n v="12"/>
    <n v="157"/>
    <s v="High BP"/>
    <n v="260"/>
    <s v="Yes"/>
    <s v="Diabetic Risk"/>
    <s v="LV Hypertrophy"/>
    <n v="128"/>
    <s v="No"/>
    <s v="Yes"/>
    <s v="High Risk"/>
    <n v="2.03125"/>
  </r>
  <r>
    <s v="P1312"/>
    <x v="312"/>
    <x v="20"/>
    <s v="Medium"/>
    <x v="1"/>
    <s v="M53"/>
    <x v="1"/>
    <n v="14"/>
    <n v="180"/>
    <s v="High BP"/>
    <n v="278"/>
    <s v="Yes"/>
    <s v="Diabetic Risk"/>
    <s v="Normal"/>
    <n v="154"/>
    <s v="Yes"/>
    <s v="No"/>
    <s v="No Risk"/>
    <n v="1.8051948051948052"/>
  </r>
  <r>
    <s v="P1313"/>
    <x v="313"/>
    <x v="36"/>
    <s v="High"/>
    <x v="0"/>
    <s v="F63"/>
    <x v="2"/>
    <n v="15"/>
    <n v="153"/>
    <s v="High BP"/>
    <n v="190"/>
    <s v="Yes"/>
    <s v="Diabetic Risk"/>
    <s v="Normal"/>
    <n v="106"/>
    <s v="No"/>
    <s v="Yes"/>
    <s v="High Risk"/>
    <n v="1.7924528301886793"/>
  </r>
  <r>
    <s v="P1314"/>
    <x v="314"/>
    <x v="20"/>
    <s v="Medium"/>
    <x v="0"/>
    <s v="F53"/>
    <x v="0"/>
    <n v="11"/>
    <n v="106"/>
    <s v="Normal"/>
    <n v="310"/>
    <s v="No"/>
    <s v="Normal"/>
    <s v="LV Hypertrophy"/>
    <n v="194"/>
    <s v="Yes"/>
    <s v="Yes"/>
    <s v="Medium Risk"/>
    <n v="1.597938144329897"/>
  </r>
  <r>
    <s v="P1315"/>
    <x v="315"/>
    <x v="39"/>
    <s v="Medium"/>
    <x v="1"/>
    <s v="M57"/>
    <x v="0"/>
    <n v="11"/>
    <n v="101"/>
    <s v="Normal"/>
    <n v="175"/>
    <s v="Yes"/>
    <s v="Diabetic Risk"/>
    <s v="ST-T Abnormality"/>
    <n v="119"/>
    <s v="No"/>
    <s v="No"/>
    <s v="No Risk"/>
    <n v="1.4705882352941178"/>
  </r>
  <r>
    <s v="P1316"/>
    <x v="316"/>
    <x v="30"/>
    <s v="Medium"/>
    <x v="0"/>
    <s v="F46"/>
    <x v="0"/>
    <n v="11"/>
    <n v="111"/>
    <s v="Normal"/>
    <n v="289"/>
    <s v="Yes"/>
    <s v="Diabetic Risk"/>
    <s v="LV Hypertrophy"/>
    <n v="142"/>
    <s v="Yes"/>
    <s v="Yes"/>
    <s v="Medium Risk"/>
    <n v="2.035211267605634"/>
  </r>
  <r>
    <s v="P1317"/>
    <x v="317"/>
    <x v="50"/>
    <s v="High"/>
    <x v="0"/>
    <s v="F74"/>
    <x v="3"/>
    <n v="12"/>
    <n v="106"/>
    <s v="Normal"/>
    <n v="308"/>
    <s v="No"/>
    <s v="Normal"/>
    <s v="Normal"/>
    <n v="102"/>
    <s v="No"/>
    <s v="Yes"/>
    <s v="High Risk"/>
    <n v="3.0196078431372548"/>
  </r>
  <r>
    <s v="P1318"/>
    <x v="318"/>
    <x v="30"/>
    <s v="Medium"/>
    <x v="1"/>
    <s v="M46"/>
    <x v="0"/>
    <n v="11"/>
    <n v="99"/>
    <s v="Normal"/>
    <n v="161"/>
    <s v="Yes"/>
    <s v="Diabetic Risk"/>
    <s v="LV Hypertrophy"/>
    <n v="110"/>
    <s v="No"/>
    <s v="No"/>
    <s v="No Risk"/>
    <n v="1.4636363636363636"/>
  </r>
  <r>
    <s v="P1319"/>
    <x v="319"/>
    <x v="14"/>
    <s v="Low"/>
    <x v="0"/>
    <s v="F30"/>
    <x v="2"/>
    <n v="15"/>
    <n v="154"/>
    <s v="High BP"/>
    <n v="303"/>
    <s v="Yes"/>
    <s v="Diabetic Risk"/>
    <s v="LV Hypertrophy"/>
    <n v="108"/>
    <s v="No"/>
    <s v="No"/>
    <s v="No Risk"/>
    <n v="2.8055555555555554"/>
  </r>
  <r>
    <s v="P1320"/>
    <x v="320"/>
    <x v="36"/>
    <s v="High"/>
    <x v="0"/>
    <s v="F63"/>
    <x v="3"/>
    <n v="12"/>
    <n v="111"/>
    <s v="Normal"/>
    <n v="155"/>
    <s v="No"/>
    <s v="Normal"/>
    <s v="Normal"/>
    <n v="142"/>
    <s v="Yes"/>
    <s v="No"/>
    <s v="No Risk"/>
    <n v="1.091549295774648"/>
  </r>
  <r>
    <s v="P1321"/>
    <x v="321"/>
    <x v="1"/>
    <s v="Low"/>
    <x v="1"/>
    <s v="M44"/>
    <x v="2"/>
    <n v="15"/>
    <n v="179"/>
    <s v="High BP"/>
    <n v="203"/>
    <s v="Yes"/>
    <s v="Diabetic Risk"/>
    <s v="LV Hypertrophy"/>
    <n v="108"/>
    <s v="Yes"/>
    <s v="Yes"/>
    <s v="No Risk"/>
    <n v="1.8796296296296295"/>
  </r>
  <r>
    <s v="P1322"/>
    <x v="322"/>
    <x v="45"/>
    <s v="High"/>
    <x v="1"/>
    <s v="M69"/>
    <x v="1"/>
    <n v="14"/>
    <n v="171"/>
    <s v="High BP"/>
    <n v="315"/>
    <s v="No"/>
    <s v="Normal"/>
    <s v="LV Hypertrophy"/>
    <n v="146"/>
    <s v="No"/>
    <s v="No"/>
    <s v="No Risk"/>
    <n v="2.1575342465753424"/>
  </r>
  <r>
    <s v="P1323"/>
    <x v="323"/>
    <x v="10"/>
    <s v="High"/>
    <x v="1"/>
    <s v="M64"/>
    <x v="1"/>
    <n v="14"/>
    <n v="139"/>
    <s v="Pre-High BP"/>
    <n v="237"/>
    <s v="No"/>
    <s v="Normal"/>
    <s v="ST-T Abnormality"/>
    <n v="114"/>
    <s v="No"/>
    <s v="No"/>
    <s v="No Risk"/>
    <n v="2.0789473684210527"/>
  </r>
  <r>
    <s v="P1324"/>
    <x v="324"/>
    <x v="18"/>
    <s v="High"/>
    <x v="0"/>
    <s v="F61"/>
    <x v="1"/>
    <n v="14"/>
    <n v="103"/>
    <s v="Normal"/>
    <n v="126"/>
    <s v="No"/>
    <s v="Normal"/>
    <s v="ST-T Abnormality"/>
    <n v="175"/>
    <s v="Yes"/>
    <s v="Yes"/>
    <s v="High Risk"/>
    <n v="0.72"/>
  </r>
  <r>
    <s v="P1325"/>
    <x v="325"/>
    <x v="31"/>
    <s v="Low"/>
    <x v="1"/>
    <s v="M32"/>
    <x v="1"/>
    <n v="14"/>
    <n v="153"/>
    <s v="High BP"/>
    <n v="173"/>
    <s v="No"/>
    <s v="Normal"/>
    <s v="Normal"/>
    <n v="120"/>
    <s v="Yes"/>
    <s v="Yes"/>
    <s v="No Risk"/>
    <n v="1.4416666666666667"/>
  </r>
  <r>
    <s v="P1326"/>
    <x v="326"/>
    <x v="18"/>
    <s v="High"/>
    <x v="1"/>
    <s v="M61"/>
    <x v="2"/>
    <n v="15"/>
    <n v="136"/>
    <s v="Pre-High BP"/>
    <n v="248"/>
    <s v="No"/>
    <s v="Normal"/>
    <s v="Normal"/>
    <n v="170"/>
    <s v="Yes"/>
    <s v="Yes"/>
    <s v="High Risk"/>
    <n v="1.4588235294117646"/>
  </r>
  <r>
    <s v="P1327"/>
    <x v="327"/>
    <x v="32"/>
    <s v="Low"/>
    <x v="1"/>
    <s v="M42"/>
    <x v="3"/>
    <n v="12"/>
    <n v="118"/>
    <s v="Normal"/>
    <n v="291"/>
    <s v="Yes"/>
    <s v="Diabetic Risk"/>
    <s v="Normal"/>
    <n v="144"/>
    <s v="Yes"/>
    <s v="Yes"/>
    <s v="No Risk"/>
    <n v="2.0208333333333335"/>
  </r>
  <r>
    <s v="P1328"/>
    <x v="328"/>
    <x v="5"/>
    <s v="Medium"/>
    <x v="1"/>
    <s v="M49"/>
    <x v="3"/>
    <n v="12"/>
    <n v="165"/>
    <s v="High BP"/>
    <n v="239"/>
    <s v="Yes"/>
    <s v="Diabetic Risk"/>
    <s v="ST-T Abnormality"/>
    <n v="112"/>
    <s v="Yes"/>
    <s v="Yes"/>
    <s v="Medium Risk"/>
    <n v="2.1339285714285716"/>
  </r>
  <r>
    <s v="P1329"/>
    <x v="329"/>
    <x v="43"/>
    <s v="High"/>
    <x v="1"/>
    <s v="M76"/>
    <x v="0"/>
    <n v="11"/>
    <n v="125"/>
    <s v="Pre-High BP"/>
    <n v="292"/>
    <s v="No"/>
    <s v="Normal"/>
    <s v="Normal"/>
    <n v="121"/>
    <s v="Yes"/>
    <s v="No"/>
    <s v="No Risk"/>
    <n v="2.4132231404958677"/>
  </r>
  <r>
    <s v="P1330"/>
    <x v="330"/>
    <x v="35"/>
    <s v="Medium"/>
    <x v="1"/>
    <s v="M48"/>
    <x v="2"/>
    <n v="15"/>
    <n v="188"/>
    <s v="High BP"/>
    <n v="225"/>
    <s v="No"/>
    <s v="Normal"/>
    <s v="Normal"/>
    <n v="151"/>
    <s v="No"/>
    <s v="No"/>
    <s v="No Risk"/>
    <n v="1.490066225165563"/>
  </r>
  <r>
    <s v="P1331"/>
    <x v="331"/>
    <x v="4"/>
    <s v="Low"/>
    <x v="0"/>
    <s v="F36"/>
    <x v="1"/>
    <n v="14"/>
    <n v="141"/>
    <s v="High BP"/>
    <n v="166"/>
    <s v="Yes"/>
    <s v="Diabetic Risk"/>
    <s v="Normal"/>
    <n v="163"/>
    <s v="Yes"/>
    <s v="No"/>
    <s v="No Risk"/>
    <n v="1.01840490797546"/>
  </r>
  <r>
    <s v="P1332"/>
    <x v="332"/>
    <x v="28"/>
    <s v="Low"/>
    <x v="0"/>
    <s v="F35"/>
    <x v="2"/>
    <n v="15"/>
    <n v="165"/>
    <s v="High BP"/>
    <n v="242"/>
    <s v="No"/>
    <s v="Normal"/>
    <s v="ST-T Abnormality"/>
    <n v="99"/>
    <s v="No"/>
    <s v="Yes"/>
    <s v="No Risk"/>
    <n v="2.4444444444444446"/>
  </r>
  <r>
    <s v="P1333"/>
    <x v="333"/>
    <x v="12"/>
    <s v="Low"/>
    <x v="1"/>
    <s v="M31"/>
    <x v="0"/>
    <n v="11"/>
    <n v="96"/>
    <s v="Normal"/>
    <n v="260"/>
    <s v="No"/>
    <s v="Normal"/>
    <s v="LV Hypertrophy"/>
    <n v="189"/>
    <s v="Yes"/>
    <s v="Yes"/>
    <s v="No Risk"/>
    <n v="1.3756613756613756"/>
  </r>
  <r>
    <s v="P1334"/>
    <x v="334"/>
    <x v="37"/>
    <s v="Medium"/>
    <x v="1"/>
    <s v="M45"/>
    <x v="0"/>
    <n v="11"/>
    <n v="118"/>
    <s v="Normal"/>
    <n v="238"/>
    <s v="No"/>
    <s v="Normal"/>
    <s v="Normal"/>
    <n v="161"/>
    <s v="Yes"/>
    <s v="Yes"/>
    <s v="Medium Risk"/>
    <n v="1.4782608695652173"/>
  </r>
  <r>
    <s v="P1335"/>
    <x v="335"/>
    <x v="18"/>
    <s v="High"/>
    <x v="1"/>
    <s v="M61"/>
    <x v="2"/>
    <n v="15"/>
    <n v="100"/>
    <s v="Normal"/>
    <n v="269"/>
    <s v="Yes"/>
    <s v="Diabetic Risk"/>
    <s v="LV Hypertrophy"/>
    <n v="143"/>
    <s v="No"/>
    <s v="No"/>
    <s v="No Risk"/>
    <n v="1.881118881118881"/>
  </r>
  <r>
    <s v="P1336"/>
    <x v="336"/>
    <x v="43"/>
    <s v="High"/>
    <x v="0"/>
    <s v="F76"/>
    <x v="2"/>
    <n v="15"/>
    <n v="122"/>
    <s v="Pre-High BP"/>
    <n v="237"/>
    <s v="Yes"/>
    <s v="Diabetic Risk"/>
    <s v="Normal"/>
    <n v="141"/>
    <s v="No"/>
    <s v="No"/>
    <s v="No Risk"/>
    <n v="1.6808510638297873"/>
  </r>
  <r>
    <s v="P1337"/>
    <x v="337"/>
    <x v="19"/>
    <s v="Low"/>
    <x v="0"/>
    <s v="F40"/>
    <x v="2"/>
    <n v="15"/>
    <n v="95"/>
    <s v="Normal"/>
    <n v="140"/>
    <s v="No"/>
    <s v="Normal"/>
    <s v="LV Hypertrophy"/>
    <n v="109"/>
    <s v="Yes"/>
    <s v="Yes"/>
    <s v="No Risk"/>
    <n v="1.2844036697247707"/>
  </r>
  <r>
    <s v="P1338"/>
    <x v="338"/>
    <x v="26"/>
    <s v="High"/>
    <x v="0"/>
    <s v="F79"/>
    <x v="3"/>
    <n v="12"/>
    <n v="168"/>
    <s v="High BP"/>
    <n v="333"/>
    <s v="No"/>
    <s v="Normal"/>
    <s v="ST-T Abnormality"/>
    <n v="121"/>
    <s v="No"/>
    <s v="No"/>
    <s v="No Risk"/>
    <n v="2.7520661157024793"/>
  </r>
  <r>
    <s v="P1339"/>
    <x v="339"/>
    <x v="13"/>
    <s v="Medium"/>
    <x v="0"/>
    <s v="F50"/>
    <x v="1"/>
    <n v="14"/>
    <n v="121"/>
    <s v="Pre-High BP"/>
    <n v="339"/>
    <s v="Yes"/>
    <s v="Diabetic Risk"/>
    <s v="ST-T Abnormality"/>
    <n v="203"/>
    <s v="No"/>
    <s v="Yes"/>
    <s v="Medium Risk"/>
    <n v="1.6699507389162562"/>
  </r>
  <r>
    <s v="P1340"/>
    <x v="340"/>
    <x v="13"/>
    <s v="Medium"/>
    <x v="0"/>
    <s v="F50"/>
    <x v="2"/>
    <n v="15"/>
    <n v="140"/>
    <s v="High BP"/>
    <n v="256"/>
    <s v="Yes"/>
    <s v="Diabetic Risk"/>
    <s v="Normal"/>
    <n v="103"/>
    <s v="No"/>
    <s v="No"/>
    <s v="No Risk"/>
    <n v="2.4854368932038833"/>
  </r>
  <r>
    <s v="P1341"/>
    <x v="341"/>
    <x v="50"/>
    <s v="High"/>
    <x v="0"/>
    <s v="F74"/>
    <x v="2"/>
    <n v="15"/>
    <n v="164"/>
    <s v="High BP"/>
    <n v="145"/>
    <s v="No"/>
    <s v="Normal"/>
    <s v="LV Hypertrophy"/>
    <n v="139"/>
    <s v="No"/>
    <s v="No"/>
    <s v="No Risk"/>
    <n v="1.0431654676258992"/>
  </r>
  <r>
    <s v="P1342"/>
    <x v="342"/>
    <x v="16"/>
    <s v="Medium"/>
    <x v="0"/>
    <s v="F58"/>
    <x v="2"/>
    <n v="15"/>
    <n v="147"/>
    <s v="High BP"/>
    <n v="128"/>
    <s v="No"/>
    <s v="Normal"/>
    <s v="ST-T Abnormality"/>
    <n v="117"/>
    <s v="Yes"/>
    <s v="No"/>
    <s v="No Risk"/>
    <n v="1.0940170940170941"/>
  </r>
  <r>
    <s v="P1343"/>
    <x v="343"/>
    <x v="17"/>
    <s v="High"/>
    <x v="0"/>
    <s v="F66"/>
    <x v="0"/>
    <n v="11"/>
    <n v="176"/>
    <s v="High BP"/>
    <n v="134"/>
    <s v="Yes"/>
    <s v="Diabetic Risk"/>
    <s v="Normal"/>
    <n v="199"/>
    <s v="No"/>
    <s v="Yes"/>
    <s v="High Risk"/>
    <n v="0.6733668341708543"/>
  </r>
  <r>
    <s v="P1344"/>
    <x v="344"/>
    <x v="17"/>
    <s v="High"/>
    <x v="0"/>
    <s v="F66"/>
    <x v="0"/>
    <n v="11"/>
    <n v="115"/>
    <s v="Normal"/>
    <n v="129"/>
    <s v="Yes"/>
    <s v="Diabetic Risk"/>
    <s v="Normal"/>
    <n v="205"/>
    <s v="Yes"/>
    <s v="No"/>
    <s v="No Risk"/>
    <n v="0.62926829268292683"/>
  </r>
  <r>
    <s v="P1345"/>
    <x v="345"/>
    <x v="44"/>
    <s v="High"/>
    <x v="1"/>
    <s v="M73"/>
    <x v="3"/>
    <n v="12"/>
    <n v="187"/>
    <s v="High BP"/>
    <n v="335"/>
    <s v="Yes"/>
    <s v="Diabetic Risk"/>
    <s v="ST-T Abnormality"/>
    <n v="142"/>
    <s v="Yes"/>
    <s v="No"/>
    <s v="No Risk"/>
    <n v="2.359154929577465"/>
  </r>
  <r>
    <s v="P1346"/>
    <x v="346"/>
    <x v="26"/>
    <s v="High"/>
    <x v="1"/>
    <s v="M79"/>
    <x v="1"/>
    <n v="14"/>
    <n v="135"/>
    <s v="Pre-High BP"/>
    <n v="241"/>
    <s v="No"/>
    <s v="Normal"/>
    <s v="ST-T Abnormality"/>
    <n v="113"/>
    <s v="Yes"/>
    <s v="Yes"/>
    <s v="High Risk"/>
    <n v="2.1327433628318584"/>
  </r>
  <r>
    <s v="P1347"/>
    <x v="347"/>
    <x v="4"/>
    <s v="Low"/>
    <x v="1"/>
    <s v="M36"/>
    <x v="3"/>
    <n v="12"/>
    <n v="187"/>
    <s v="High BP"/>
    <n v="240"/>
    <s v="Yes"/>
    <s v="Diabetic Risk"/>
    <s v="Normal"/>
    <n v="168"/>
    <s v="Yes"/>
    <s v="No"/>
    <s v="No Risk"/>
    <n v="1.4285714285714286"/>
  </r>
  <r>
    <s v="P1348"/>
    <x v="348"/>
    <x v="22"/>
    <s v="Medium"/>
    <x v="1"/>
    <s v="M55"/>
    <x v="1"/>
    <n v="14"/>
    <n v="118"/>
    <s v="Normal"/>
    <n v="244"/>
    <s v="No"/>
    <s v="Normal"/>
    <s v="LV Hypertrophy"/>
    <n v="111"/>
    <s v="No"/>
    <s v="Yes"/>
    <s v="Medium Risk"/>
    <n v="2.1981981981981984"/>
  </r>
  <r>
    <s v="P1349"/>
    <x v="349"/>
    <x v="22"/>
    <s v="Medium"/>
    <x v="0"/>
    <s v="F55"/>
    <x v="0"/>
    <n v="11"/>
    <n v="93"/>
    <s v="Normal"/>
    <n v="289"/>
    <s v="Yes"/>
    <s v="Diabetic Risk"/>
    <s v="LV Hypertrophy"/>
    <n v="119"/>
    <s v="No"/>
    <s v="Yes"/>
    <s v="Medium Risk"/>
    <n v="2.4285714285714284"/>
  </r>
  <r>
    <s v="P1350"/>
    <x v="350"/>
    <x v="40"/>
    <s v="High"/>
    <x v="0"/>
    <s v="F62"/>
    <x v="0"/>
    <n v="11"/>
    <n v="170"/>
    <s v="High BP"/>
    <n v="191"/>
    <s v="Yes"/>
    <s v="Diabetic Risk"/>
    <s v="LV Hypertrophy"/>
    <n v="152"/>
    <s v="Yes"/>
    <s v="Yes"/>
    <s v="High Risk"/>
    <n v="1.256578947368421"/>
  </r>
  <r>
    <s v="P1351"/>
    <x v="351"/>
    <x v="5"/>
    <s v="Medium"/>
    <x v="1"/>
    <s v="M49"/>
    <x v="0"/>
    <n v="11"/>
    <n v="188"/>
    <s v="High BP"/>
    <n v="271"/>
    <s v="Yes"/>
    <s v="Diabetic Risk"/>
    <s v="Normal"/>
    <n v="93"/>
    <s v="Yes"/>
    <s v="Yes"/>
    <s v="Medium Risk"/>
    <n v="2.913978494623656"/>
  </r>
  <r>
    <s v="P1352"/>
    <x v="352"/>
    <x v="16"/>
    <s v="Medium"/>
    <x v="0"/>
    <s v="F58"/>
    <x v="3"/>
    <n v="12"/>
    <n v="102"/>
    <s v="Normal"/>
    <n v="327"/>
    <s v="Yes"/>
    <s v="Diabetic Risk"/>
    <s v="ST-T Abnormality"/>
    <n v="166"/>
    <s v="Yes"/>
    <s v="Yes"/>
    <s v="Medium Risk"/>
    <n v="1.9698795180722892"/>
  </r>
  <r>
    <s v="P1353"/>
    <x v="353"/>
    <x v="18"/>
    <s v="High"/>
    <x v="1"/>
    <s v="M61"/>
    <x v="2"/>
    <n v="15"/>
    <n v="128"/>
    <s v="Pre-High BP"/>
    <n v="168"/>
    <s v="No"/>
    <s v="Normal"/>
    <s v="Normal"/>
    <n v="148"/>
    <s v="Yes"/>
    <s v="No"/>
    <s v="No Risk"/>
    <n v="1.1351351351351351"/>
  </r>
  <r>
    <s v="P1354"/>
    <x v="354"/>
    <x v="24"/>
    <s v="Medium"/>
    <x v="0"/>
    <s v="F56"/>
    <x v="2"/>
    <n v="15"/>
    <n v="104"/>
    <s v="Normal"/>
    <n v="273"/>
    <s v="No"/>
    <s v="Normal"/>
    <s v="ST-T Abnormality"/>
    <n v="176"/>
    <s v="No"/>
    <s v="Yes"/>
    <s v="Medium Risk"/>
    <n v="1.5511363636363635"/>
  </r>
  <r>
    <s v="P1355"/>
    <x v="355"/>
    <x v="25"/>
    <s v="High"/>
    <x v="1"/>
    <s v="M75"/>
    <x v="0"/>
    <n v="11"/>
    <n v="118"/>
    <s v="Normal"/>
    <n v="210"/>
    <s v="Yes"/>
    <s v="Diabetic Risk"/>
    <s v="LV Hypertrophy"/>
    <n v="97"/>
    <s v="Yes"/>
    <s v="Yes"/>
    <s v="High Risk"/>
    <n v="2.1649484536082473"/>
  </r>
  <r>
    <s v="P1356"/>
    <x v="356"/>
    <x v="18"/>
    <s v="High"/>
    <x v="0"/>
    <s v="F61"/>
    <x v="2"/>
    <n v="15"/>
    <n v="118"/>
    <s v="Normal"/>
    <n v="156"/>
    <s v="No"/>
    <s v="Normal"/>
    <s v="LV Hypertrophy"/>
    <n v="171"/>
    <s v="No"/>
    <s v="Yes"/>
    <s v="High Risk"/>
    <n v="0.91228070175438591"/>
  </r>
  <r>
    <s v="P1357"/>
    <x v="357"/>
    <x v="47"/>
    <s v="Low"/>
    <x v="0"/>
    <s v="F33"/>
    <x v="2"/>
    <n v="15"/>
    <n v="164"/>
    <s v="High BP"/>
    <n v="187"/>
    <s v="Yes"/>
    <s v="Diabetic Risk"/>
    <s v="ST-T Abnormality"/>
    <n v="101"/>
    <s v="Yes"/>
    <s v="Yes"/>
    <s v="No Risk"/>
    <n v="1.8514851485148516"/>
  </r>
  <r>
    <s v="P1358"/>
    <x v="358"/>
    <x v="43"/>
    <s v="High"/>
    <x v="1"/>
    <s v="M76"/>
    <x v="3"/>
    <n v="12"/>
    <n v="121"/>
    <s v="Pre-High BP"/>
    <n v="169"/>
    <s v="Yes"/>
    <s v="Diabetic Risk"/>
    <s v="ST-T Abnormality"/>
    <n v="208"/>
    <s v="Yes"/>
    <s v="No"/>
    <s v="No Risk"/>
    <n v="0.8125"/>
  </r>
  <r>
    <s v="P1359"/>
    <x v="359"/>
    <x v="6"/>
    <s v="Medium"/>
    <x v="0"/>
    <s v="F47"/>
    <x v="1"/>
    <n v="14"/>
    <n v="91"/>
    <s v="Normal"/>
    <n v="271"/>
    <s v="Yes"/>
    <s v="Diabetic Risk"/>
    <s v="Normal"/>
    <n v="120"/>
    <s v="Yes"/>
    <s v="Yes"/>
    <s v="Medium Risk"/>
    <n v="2.2583333333333333"/>
  </r>
  <r>
    <s v="P1360"/>
    <x v="360"/>
    <x v="31"/>
    <s v="Low"/>
    <x v="1"/>
    <s v="M32"/>
    <x v="0"/>
    <n v="11"/>
    <n v="136"/>
    <s v="Pre-High BP"/>
    <n v="138"/>
    <s v="Yes"/>
    <s v="Diabetic Risk"/>
    <s v="LV Hypertrophy"/>
    <n v="167"/>
    <s v="Yes"/>
    <s v="No"/>
    <s v="No Risk"/>
    <n v="0.82634730538922152"/>
  </r>
  <r>
    <s v="P1361"/>
    <x v="361"/>
    <x v="36"/>
    <s v="High"/>
    <x v="1"/>
    <s v="M63"/>
    <x v="0"/>
    <n v="11"/>
    <n v="167"/>
    <s v="High BP"/>
    <n v="219"/>
    <s v="No"/>
    <s v="Normal"/>
    <s v="Normal"/>
    <n v="123"/>
    <s v="No"/>
    <s v="Yes"/>
    <s v="High Risk"/>
    <n v="1.7804878048780488"/>
  </r>
  <r>
    <s v="P1362"/>
    <x v="362"/>
    <x v="21"/>
    <s v="High"/>
    <x v="1"/>
    <s v="M77"/>
    <x v="3"/>
    <n v="12"/>
    <n v="173"/>
    <s v="High BP"/>
    <n v="179"/>
    <s v="Yes"/>
    <s v="Diabetic Risk"/>
    <s v="Normal"/>
    <n v="171"/>
    <s v="No"/>
    <s v="No"/>
    <s v="No Risk"/>
    <n v="1.0467836257309941"/>
  </r>
  <r>
    <s v="P1363"/>
    <x v="363"/>
    <x v="37"/>
    <s v="Medium"/>
    <x v="1"/>
    <s v="M45"/>
    <x v="3"/>
    <n v="12"/>
    <n v="111"/>
    <s v="Normal"/>
    <n v="286"/>
    <s v="Yes"/>
    <s v="Diabetic Risk"/>
    <s v="Normal"/>
    <n v="209"/>
    <s v="No"/>
    <s v="Yes"/>
    <s v="Medium Risk"/>
    <n v="1.368421052631579"/>
  </r>
  <r>
    <s v="P1364"/>
    <x v="364"/>
    <x v="15"/>
    <s v="High"/>
    <x v="0"/>
    <s v="F72"/>
    <x v="2"/>
    <n v="15"/>
    <n v="164"/>
    <s v="High BP"/>
    <n v="321"/>
    <s v="No"/>
    <s v="Normal"/>
    <s v="LV Hypertrophy"/>
    <n v="187"/>
    <s v="Yes"/>
    <s v="Yes"/>
    <s v="High Risk"/>
    <n v="1.7165775401069518"/>
  </r>
  <r>
    <s v="P1365"/>
    <x v="365"/>
    <x v="24"/>
    <s v="Medium"/>
    <x v="0"/>
    <s v="F56"/>
    <x v="0"/>
    <n v="11"/>
    <n v="116"/>
    <s v="Normal"/>
    <n v="208"/>
    <s v="Yes"/>
    <s v="Diabetic Risk"/>
    <s v="Normal"/>
    <n v="164"/>
    <s v="Yes"/>
    <s v="No"/>
    <s v="No Risk"/>
    <n v="1.2682926829268293"/>
  </r>
  <r>
    <s v="P1366"/>
    <x v="366"/>
    <x v="16"/>
    <s v="Medium"/>
    <x v="0"/>
    <s v="F58"/>
    <x v="1"/>
    <n v="14"/>
    <n v="156"/>
    <s v="High BP"/>
    <n v="265"/>
    <s v="Yes"/>
    <s v="Diabetic Risk"/>
    <s v="Normal"/>
    <n v="194"/>
    <s v="No"/>
    <s v="Yes"/>
    <s v="Medium Risk"/>
    <n v="1.365979381443299"/>
  </r>
  <r>
    <s v="P1367"/>
    <x v="367"/>
    <x v="39"/>
    <s v="Medium"/>
    <x v="1"/>
    <s v="M57"/>
    <x v="3"/>
    <n v="12"/>
    <n v="170"/>
    <s v="High BP"/>
    <n v="266"/>
    <s v="Yes"/>
    <s v="Diabetic Risk"/>
    <s v="Normal"/>
    <n v="165"/>
    <s v="No"/>
    <s v="No"/>
    <s v="No Risk"/>
    <n v="1.6121212121212121"/>
  </r>
  <r>
    <s v="P1368"/>
    <x v="368"/>
    <x v="50"/>
    <s v="High"/>
    <x v="0"/>
    <s v="F74"/>
    <x v="1"/>
    <n v="14"/>
    <n v="145"/>
    <s v="High BP"/>
    <n v="283"/>
    <s v="No"/>
    <s v="Normal"/>
    <s v="Normal"/>
    <n v="138"/>
    <s v="Yes"/>
    <s v="Yes"/>
    <s v="High Risk"/>
    <n v="2.0507246376811592"/>
  </r>
  <r>
    <s v="P1369"/>
    <x v="369"/>
    <x v="38"/>
    <s v="Low"/>
    <x v="1"/>
    <s v="M34"/>
    <x v="1"/>
    <n v="14"/>
    <n v="181"/>
    <s v="High BP"/>
    <n v="321"/>
    <s v="Yes"/>
    <s v="Diabetic Risk"/>
    <s v="Normal"/>
    <n v="168"/>
    <s v="Yes"/>
    <s v="No"/>
    <s v="No Risk"/>
    <n v="1.9107142857142858"/>
  </r>
  <r>
    <s v="P1370"/>
    <x v="370"/>
    <x v="36"/>
    <s v="High"/>
    <x v="0"/>
    <s v="F63"/>
    <x v="0"/>
    <n v="11"/>
    <n v="182"/>
    <s v="High BP"/>
    <n v="344"/>
    <s v="No"/>
    <s v="Normal"/>
    <s v="Normal"/>
    <n v="146"/>
    <s v="No"/>
    <s v="Yes"/>
    <s v="High Risk"/>
    <n v="2.3561643835616439"/>
  </r>
  <r>
    <s v="P1371"/>
    <x v="371"/>
    <x v="45"/>
    <s v="High"/>
    <x v="0"/>
    <s v="F69"/>
    <x v="0"/>
    <n v="11"/>
    <n v="110"/>
    <s v="Normal"/>
    <n v="302"/>
    <s v="Yes"/>
    <s v="Diabetic Risk"/>
    <s v="LV Hypertrophy"/>
    <n v="184"/>
    <s v="Yes"/>
    <s v="Yes"/>
    <s v="High Risk"/>
    <n v="1.6413043478260869"/>
  </r>
  <r>
    <s v="P1372"/>
    <x v="372"/>
    <x v="27"/>
    <s v="High"/>
    <x v="0"/>
    <s v="F65"/>
    <x v="3"/>
    <n v="12"/>
    <n v="136"/>
    <s v="Pre-High BP"/>
    <n v="188"/>
    <s v="Yes"/>
    <s v="Diabetic Risk"/>
    <s v="Normal"/>
    <n v="202"/>
    <s v="Yes"/>
    <s v="No"/>
    <s v="No Risk"/>
    <n v="0.93069306930693074"/>
  </r>
  <r>
    <s v="P1373"/>
    <x v="373"/>
    <x v="9"/>
    <s v="Medium"/>
    <x v="1"/>
    <s v="M52"/>
    <x v="0"/>
    <n v="11"/>
    <n v="169"/>
    <s v="High BP"/>
    <n v="294"/>
    <s v="No"/>
    <s v="Normal"/>
    <s v="ST-T Abnormality"/>
    <n v="182"/>
    <s v="No"/>
    <s v="Yes"/>
    <s v="Medium Risk"/>
    <n v="1.6153846153846154"/>
  </r>
  <r>
    <s v="P1374"/>
    <x v="374"/>
    <x v="39"/>
    <s v="Medium"/>
    <x v="0"/>
    <s v="F57"/>
    <x v="0"/>
    <n v="11"/>
    <n v="148"/>
    <s v="High BP"/>
    <n v="168"/>
    <s v="Yes"/>
    <s v="Diabetic Risk"/>
    <s v="Normal"/>
    <n v="115"/>
    <s v="Yes"/>
    <s v="Yes"/>
    <s v="Medium Risk"/>
    <n v="1.4608695652173913"/>
  </r>
  <r>
    <s v="P1375"/>
    <x v="375"/>
    <x v="21"/>
    <s v="High"/>
    <x v="0"/>
    <s v="F77"/>
    <x v="0"/>
    <n v="11"/>
    <n v="173"/>
    <s v="High BP"/>
    <n v="346"/>
    <s v="Yes"/>
    <s v="Diabetic Risk"/>
    <s v="Normal"/>
    <n v="107"/>
    <s v="No"/>
    <s v="Yes"/>
    <s v="High Risk"/>
    <n v="3.2336448598130842"/>
  </r>
  <r>
    <s v="P1376"/>
    <x v="376"/>
    <x v="50"/>
    <s v="High"/>
    <x v="1"/>
    <s v="M74"/>
    <x v="1"/>
    <n v="14"/>
    <n v="95"/>
    <s v="Normal"/>
    <n v="227"/>
    <s v="No"/>
    <s v="Normal"/>
    <s v="LV Hypertrophy"/>
    <n v="185"/>
    <s v="Yes"/>
    <s v="Yes"/>
    <s v="High Risk"/>
    <n v="1.2270270270270269"/>
  </r>
  <r>
    <s v="P1377"/>
    <x v="377"/>
    <x v="42"/>
    <s v="Medium"/>
    <x v="0"/>
    <s v="F59"/>
    <x v="3"/>
    <n v="12"/>
    <n v="108"/>
    <s v="Normal"/>
    <n v="345"/>
    <s v="No"/>
    <s v="Normal"/>
    <s v="LV Hypertrophy"/>
    <n v="175"/>
    <s v="No"/>
    <s v="Yes"/>
    <s v="Medium Risk"/>
    <n v="1.9714285714285715"/>
  </r>
  <r>
    <s v="P1378"/>
    <x v="378"/>
    <x v="36"/>
    <s v="High"/>
    <x v="1"/>
    <s v="M63"/>
    <x v="2"/>
    <n v="15"/>
    <n v="146"/>
    <s v="High BP"/>
    <n v="280"/>
    <s v="No"/>
    <s v="Normal"/>
    <s v="ST-T Abnormality"/>
    <n v="127"/>
    <s v="Yes"/>
    <s v="Yes"/>
    <s v="High Risk"/>
    <n v="2.204724409448819"/>
  </r>
  <r>
    <s v="P1379"/>
    <x v="379"/>
    <x v="18"/>
    <s v="High"/>
    <x v="0"/>
    <s v="F61"/>
    <x v="1"/>
    <n v="14"/>
    <n v="158"/>
    <s v="High BP"/>
    <n v="238"/>
    <s v="No"/>
    <s v="Normal"/>
    <s v="ST-T Abnormality"/>
    <n v="170"/>
    <s v="No"/>
    <s v="No"/>
    <s v="No Risk"/>
    <n v="1.4"/>
  </r>
  <r>
    <s v="P1380"/>
    <x v="380"/>
    <x v="5"/>
    <s v="Medium"/>
    <x v="1"/>
    <s v="M49"/>
    <x v="0"/>
    <n v="11"/>
    <n v="92"/>
    <s v="Normal"/>
    <n v="268"/>
    <s v="No"/>
    <s v="Normal"/>
    <s v="LV Hypertrophy"/>
    <n v="176"/>
    <s v="No"/>
    <s v="No"/>
    <s v="No Risk"/>
    <n v="1.5227272727272727"/>
  </r>
  <r>
    <s v="P1381"/>
    <x v="381"/>
    <x v="49"/>
    <s v="High"/>
    <x v="1"/>
    <s v="M60"/>
    <x v="1"/>
    <n v="14"/>
    <n v="90"/>
    <s v="Normal"/>
    <n v="328"/>
    <s v="Yes"/>
    <s v="Diabetic Risk"/>
    <s v="LV Hypertrophy"/>
    <n v="177"/>
    <s v="No"/>
    <s v="No"/>
    <s v="No Risk"/>
    <n v="1.8531073446327684"/>
  </r>
  <r>
    <s v="P1382"/>
    <x v="382"/>
    <x v="7"/>
    <s v="Medium"/>
    <x v="0"/>
    <s v="F51"/>
    <x v="0"/>
    <n v="11"/>
    <n v="147"/>
    <s v="High BP"/>
    <n v="269"/>
    <s v="No"/>
    <s v="Normal"/>
    <s v="Normal"/>
    <n v="139"/>
    <s v="No"/>
    <s v="Yes"/>
    <s v="Medium Risk"/>
    <n v="1.935251798561151"/>
  </r>
  <r>
    <s v="P1383"/>
    <x v="383"/>
    <x v="18"/>
    <s v="High"/>
    <x v="1"/>
    <s v="M61"/>
    <x v="0"/>
    <n v="11"/>
    <n v="127"/>
    <s v="Pre-High BP"/>
    <n v="295"/>
    <s v="Yes"/>
    <s v="Diabetic Risk"/>
    <s v="LV Hypertrophy"/>
    <n v="97"/>
    <s v="Yes"/>
    <s v="No"/>
    <s v="No Risk"/>
    <n v="3.0412371134020617"/>
  </r>
  <r>
    <s v="P1384"/>
    <x v="384"/>
    <x v="12"/>
    <s v="Low"/>
    <x v="1"/>
    <s v="M31"/>
    <x v="1"/>
    <n v="14"/>
    <n v="104"/>
    <s v="Normal"/>
    <n v="156"/>
    <s v="Yes"/>
    <s v="Diabetic Risk"/>
    <s v="ST-T Abnormality"/>
    <n v="130"/>
    <s v="Yes"/>
    <s v="Yes"/>
    <s v="No Risk"/>
    <n v="1.2"/>
  </r>
  <r>
    <s v="P1385"/>
    <x v="385"/>
    <x v="30"/>
    <s v="Medium"/>
    <x v="1"/>
    <s v="M46"/>
    <x v="3"/>
    <n v="12"/>
    <n v="123"/>
    <s v="Pre-High BP"/>
    <n v="262"/>
    <s v="Yes"/>
    <s v="Diabetic Risk"/>
    <s v="Normal"/>
    <n v="95"/>
    <s v="No"/>
    <s v="Yes"/>
    <s v="Medium Risk"/>
    <n v="2.7578947368421054"/>
  </r>
  <r>
    <s v="P1386"/>
    <x v="386"/>
    <x v="20"/>
    <s v="Medium"/>
    <x v="1"/>
    <s v="M53"/>
    <x v="0"/>
    <n v="11"/>
    <n v="150"/>
    <s v="High BP"/>
    <n v="282"/>
    <s v="No"/>
    <s v="Normal"/>
    <s v="ST-T Abnormality"/>
    <n v="158"/>
    <s v="Yes"/>
    <s v="Yes"/>
    <s v="Medium Risk"/>
    <n v="1.7848101265822784"/>
  </r>
  <r>
    <s v="P1387"/>
    <x v="387"/>
    <x v="23"/>
    <s v="High"/>
    <x v="1"/>
    <s v="M70"/>
    <x v="3"/>
    <n v="12"/>
    <n v="124"/>
    <s v="Pre-High BP"/>
    <n v="339"/>
    <s v="No"/>
    <s v="Normal"/>
    <s v="Normal"/>
    <n v="133"/>
    <s v="Yes"/>
    <s v="Yes"/>
    <s v="High Risk"/>
    <n v="2.5488721804511276"/>
  </r>
  <r>
    <s v="P1388"/>
    <x v="388"/>
    <x v="42"/>
    <s v="Medium"/>
    <x v="1"/>
    <s v="M59"/>
    <x v="2"/>
    <n v="15"/>
    <n v="153"/>
    <s v="High BP"/>
    <n v="318"/>
    <s v="Yes"/>
    <s v="Diabetic Risk"/>
    <s v="LV Hypertrophy"/>
    <n v="153"/>
    <s v="Yes"/>
    <s v="No"/>
    <s v="No Risk"/>
    <n v="2.0784313725490198"/>
  </r>
  <r>
    <s v="P1389"/>
    <x v="389"/>
    <x v="12"/>
    <s v="Low"/>
    <x v="0"/>
    <s v="F31"/>
    <x v="0"/>
    <n v="11"/>
    <n v="114"/>
    <s v="Normal"/>
    <n v="279"/>
    <s v="No"/>
    <s v="Normal"/>
    <s v="ST-T Abnormality"/>
    <n v="118"/>
    <s v="Yes"/>
    <s v="Yes"/>
    <s v="No Risk"/>
    <n v="2.3644067796610169"/>
  </r>
  <r>
    <s v="P1390"/>
    <x v="390"/>
    <x v="11"/>
    <s v="High"/>
    <x v="1"/>
    <s v="M68"/>
    <x v="3"/>
    <n v="12"/>
    <n v="113"/>
    <s v="Normal"/>
    <n v="130"/>
    <s v="No"/>
    <s v="Normal"/>
    <s v="Normal"/>
    <n v="117"/>
    <s v="Yes"/>
    <s v="No"/>
    <s v="No Risk"/>
    <n v="1.1111111111111112"/>
  </r>
  <r>
    <s v="P1391"/>
    <x v="391"/>
    <x v="50"/>
    <s v="High"/>
    <x v="1"/>
    <s v="M74"/>
    <x v="3"/>
    <n v="12"/>
    <n v="101"/>
    <s v="Normal"/>
    <n v="257"/>
    <s v="No"/>
    <s v="Normal"/>
    <s v="Normal"/>
    <n v="100"/>
    <s v="No"/>
    <s v="Yes"/>
    <s v="High Risk"/>
    <n v="2.57"/>
  </r>
  <r>
    <s v="P1392"/>
    <x v="392"/>
    <x v="9"/>
    <s v="Medium"/>
    <x v="0"/>
    <s v="F52"/>
    <x v="2"/>
    <n v="15"/>
    <n v="107"/>
    <s v="Normal"/>
    <n v="320"/>
    <s v="No"/>
    <s v="Normal"/>
    <s v="LV Hypertrophy"/>
    <n v="154"/>
    <s v="No"/>
    <s v="No"/>
    <s v="No Risk"/>
    <n v="2.0779220779220777"/>
  </r>
  <r>
    <s v="P1393"/>
    <x v="393"/>
    <x v="33"/>
    <s v="High"/>
    <x v="0"/>
    <s v="F78"/>
    <x v="3"/>
    <n v="12"/>
    <n v="104"/>
    <s v="Normal"/>
    <n v="197"/>
    <s v="Yes"/>
    <s v="Diabetic Risk"/>
    <s v="LV Hypertrophy"/>
    <n v="196"/>
    <s v="No"/>
    <s v="No"/>
    <s v="No Risk"/>
    <n v="1.0051020408163265"/>
  </r>
  <r>
    <s v="P1394"/>
    <x v="394"/>
    <x v="49"/>
    <s v="High"/>
    <x v="0"/>
    <s v="F60"/>
    <x v="3"/>
    <n v="12"/>
    <n v="169"/>
    <s v="High BP"/>
    <n v="196"/>
    <s v="Yes"/>
    <s v="Diabetic Risk"/>
    <s v="LV Hypertrophy"/>
    <n v="108"/>
    <s v="No"/>
    <s v="No"/>
    <s v="No Risk"/>
    <n v="1.8148148148148149"/>
  </r>
  <r>
    <s v="P1395"/>
    <x v="395"/>
    <x v="25"/>
    <s v="High"/>
    <x v="0"/>
    <s v="F75"/>
    <x v="2"/>
    <n v="15"/>
    <n v="116"/>
    <s v="Normal"/>
    <n v="304"/>
    <s v="No"/>
    <s v="Normal"/>
    <s v="ST-T Abnormality"/>
    <n v="98"/>
    <s v="Yes"/>
    <s v="No"/>
    <s v="No Risk"/>
    <n v="3.1020408163265305"/>
  </r>
  <r>
    <s v="P1396"/>
    <x v="396"/>
    <x v="13"/>
    <s v="Medium"/>
    <x v="0"/>
    <s v="F50"/>
    <x v="0"/>
    <n v="11"/>
    <n v="161"/>
    <s v="High BP"/>
    <n v="272"/>
    <s v="Yes"/>
    <s v="Diabetic Risk"/>
    <s v="Normal"/>
    <n v="116"/>
    <s v="Yes"/>
    <s v="No"/>
    <s v="No Risk"/>
    <n v="2.3448275862068964"/>
  </r>
  <r>
    <s v="P1397"/>
    <x v="397"/>
    <x v="7"/>
    <s v="Medium"/>
    <x v="0"/>
    <s v="F51"/>
    <x v="3"/>
    <n v="12"/>
    <n v="149"/>
    <s v="High BP"/>
    <n v="121"/>
    <s v="No"/>
    <s v="Normal"/>
    <s v="LV Hypertrophy"/>
    <n v="123"/>
    <s v="No"/>
    <s v="No"/>
    <s v="No Risk"/>
    <n v="0.98373983739837401"/>
  </r>
  <r>
    <s v="P1398"/>
    <x v="398"/>
    <x v="14"/>
    <s v="Low"/>
    <x v="0"/>
    <s v="F30"/>
    <x v="3"/>
    <n v="12"/>
    <n v="135"/>
    <s v="Pre-High BP"/>
    <n v="183"/>
    <s v="No"/>
    <s v="Normal"/>
    <s v="ST-T Abnormality"/>
    <n v="133"/>
    <s v="Yes"/>
    <s v="Yes"/>
    <s v="No Risk"/>
    <n v="1.3759398496240602"/>
  </r>
  <r>
    <s v="P1399"/>
    <x v="399"/>
    <x v="22"/>
    <s v="Medium"/>
    <x v="1"/>
    <s v="M55"/>
    <x v="3"/>
    <n v="12"/>
    <n v="178"/>
    <s v="High BP"/>
    <n v="154"/>
    <s v="Yes"/>
    <s v="Diabetic Risk"/>
    <s v="ST-T Abnormality"/>
    <n v="157"/>
    <s v="Yes"/>
    <s v="No"/>
    <s v="No Risk"/>
    <n v="0.98089171974522293"/>
  </r>
  <r>
    <s v="P1400"/>
    <x v="400"/>
    <x v="23"/>
    <s v="High"/>
    <x v="1"/>
    <s v="M70"/>
    <x v="1"/>
    <n v="14"/>
    <n v="106"/>
    <s v="Normal"/>
    <n v="126"/>
    <s v="Yes"/>
    <s v="Diabetic Risk"/>
    <s v="ST-T Abnormality"/>
    <n v="189"/>
    <s v="No"/>
    <s v="Yes"/>
    <s v="High Risk"/>
    <n v="0.66666666666666663"/>
  </r>
  <r>
    <s v="P1401"/>
    <x v="401"/>
    <x v="14"/>
    <s v="Low"/>
    <x v="0"/>
    <s v="F30"/>
    <x v="2"/>
    <n v="15"/>
    <n v="182"/>
    <s v="High BP"/>
    <n v="204"/>
    <s v="Yes"/>
    <s v="Diabetic Risk"/>
    <s v="LV Hypertrophy"/>
    <n v="171"/>
    <s v="Yes"/>
    <s v="No"/>
    <s v="No Risk"/>
    <n v="1.1929824561403508"/>
  </r>
  <r>
    <s v="P1402"/>
    <x v="402"/>
    <x v="34"/>
    <s v="Medium"/>
    <x v="1"/>
    <s v="M54"/>
    <x v="1"/>
    <n v="14"/>
    <n v="142"/>
    <s v="High BP"/>
    <n v="265"/>
    <s v="No"/>
    <s v="Normal"/>
    <s v="LV Hypertrophy"/>
    <n v="104"/>
    <s v="No"/>
    <s v="Yes"/>
    <s v="Medium Risk"/>
    <n v="2.5480769230769229"/>
  </r>
  <r>
    <s v="P1403"/>
    <x v="403"/>
    <x v="37"/>
    <s v="Medium"/>
    <x v="1"/>
    <s v="M45"/>
    <x v="2"/>
    <n v="15"/>
    <n v="97"/>
    <s v="Normal"/>
    <n v="186"/>
    <s v="Yes"/>
    <s v="Diabetic Risk"/>
    <s v="Normal"/>
    <n v="140"/>
    <s v="No"/>
    <s v="No"/>
    <s v="No Risk"/>
    <n v="1.3285714285714285"/>
  </r>
  <r>
    <s v="P1404"/>
    <x v="404"/>
    <x v="11"/>
    <s v="High"/>
    <x v="1"/>
    <s v="M68"/>
    <x v="0"/>
    <n v="11"/>
    <n v="168"/>
    <s v="High BP"/>
    <n v="161"/>
    <s v="No"/>
    <s v="Normal"/>
    <s v="Normal"/>
    <n v="102"/>
    <s v="Yes"/>
    <s v="No"/>
    <s v="No Risk"/>
    <n v="1.5784313725490196"/>
  </r>
  <r>
    <s v="P1405"/>
    <x v="405"/>
    <x v="18"/>
    <s v="High"/>
    <x v="0"/>
    <s v="F61"/>
    <x v="0"/>
    <n v="11"/>
    <n v="116"/>
    <s v="Normal"/>
    <n v="237"/>
    <s v="Yes"/>
    <s v="Diabetic Risk"/>
    <s v="LV Hypertrophy"/>
    <n v="172"/>
    <s v="Yes"/>
    <s v="Yes"/>
    <s v="High Risk"/>
    <n v="1.3779069767441861"/>
  </r>
  <r>
    <s v="P1406"/>
    <x v="406"/>
    <x v="29"/>
    <s v="Low"/>
    <x v="0"/>
    <s v="F37"/>
    <x v="3"/>
    <n v="12"/>
    <n v="135"/>
    <s v="Pre-High BP"/>
    <n v="244"/>
    <s v="Yes"/>
    <s v="Diabetic Risk"/>
    <s v="ST-T Abnormality"/>
    <n v="138"/>
    <s v="No"/>
    <s v="No"/>
    <s v="No Risk"/>
    <n v="1.7681159420289856"/>
  </r>
  <r>
    <s v="P1407"/>
    <x v="407"/>
    <x v="3"/>
    <s v="High"/>
    <x v="1"/>
    <s v="M71"/>
    <x v="2"/>
    <n v="15"/>
    <n v="139"/>
    <s v="Pre-High BP"/>
    <n v="286"/>
    <s v="No"/>
    <s v="Normal"/>
    <s v="ST-T Abnormality"/>
    <n v="159"/>
    <s v="No"/>
    <s v="No"/>
    <s v="No Risk"/>
    <n v="1.7987421383647799"/>
  </r>
  <r>
    <s v="P1408"/>
    <x v="408"/>
    <x v="43"/>
    <s v="High"/>
    <x v="0"/>
    <s v="F76"/>
    <x v="0"/>
    <n v="11"/>
    <n v="160"/>
    <s v="High BP"/>
    <n v="288"/>
    <s v="No"/>
    <s v="Normal"/>
    <s v="ST-T Abnormality"/>
    <n v="201"/>
    <s v="Yes"/>
    <s v="No"/>
    <s v="No Risk"/>
    <n v="1.4328358208955223"/>
  </r>
  <r>
    <s v="P1409"/>
    <x v="409"/>
    <x v="0"/>
    <s v="High"/>
    <x v="1"/>
    <s v="M67"/>
    <x v="2"/>
    <n v="15"/>
    <n v="92"/>
    <s v="Normal"/>
    <n v="322"/>
    <s v="No"/>
    <s v="Normal"/>
    <s v="Normal"/>
    <n v="145"/>
    <s v="No"/>
    <s v="Yes"/>
    <s v="High Risk"/>
    <n v="2.2206896551724138"/>
  </r>
  <r>
    <s v="P1410"/>
    <x v="410"/>
    <x v="39"/>
    <s v="Medium"/>
    <x v="1"/>
    <s v="M57"/>
    <x v="0"/>
    <n v="11"/>
    <n v="182"/>
    <s v="High BP"/>
    <n v="143"/>
    <s v="No"/>
    <s v="Normal"/>
    <s v="ST-T Abnormality"/>
    <n v="165"/>
    <s v="No"/>
    <s v="No"/>
    <s v="No Risk"/>
    <n v="0.8666666666666667"/>
  </r>
  <r>
    <s v="P1411"/>
    <x v="411"/>
    <x v="23"/>
    <s v="High"/>
    <x v="1"/>
    <s v="M70"/>
    <x v="1"/>
    <n v="14"/>
    <n v="153"/>
    <s v="High BP"/>
    <n v="307"/>
    <s v="No"/>
    <s v="Normal"/>
    <s v="Normal"/>
    <n v="140"/>
    <s v="No"/>
    <s v="Yes"/>
    <s v="High Risk"/>
    <n v="2.1928571428571431"/>
  </r>
  <r>
    <s v="P1412"/>
    <x v="412"/>
    <x v="34"/>
    <s v="Medium"/>
    <x v="1"/>
    <s v="M54"/>
    <x v="0"/>
    <n v="11"/>
    <n v="133"/>
    <s v="Pre-High BP"/>
    <n v="165"/>
    <s v="No"/>
    <s v="Normal"/>
    <s v="Normal"/>
    <n v="126"/>
    <s v="Yes"/>
    <s v="No"/>
    <s v="No Risk"/>
    <n v="1.3095238095238095"/>
  </r>
  <r>
    <s v="P1413"/>
    <x v="413"/>
    <x v="36"/>
    <s v="High"/>
    <x v="0"/>
    <s v="F63"/>
    <x v="1"/>
    <n v="14"/>
    <n v="142"/>
    <s v="High BP"/>
    <n v="138"/>
    <s v="No"/>
    <s v="Normal"/>
    <s v="ST-T Abnormality"/>
    <n v="106"/>
    <s v="No"/>
    <s v="No"/>
    <s v="No Risk"/>
    <n v="1.3018867924528301"/>
  </r>
  <r>
    <s v="P1414"/>
    <x v="414"/>
    <x v="33"/>
    <s v="High"/>
    <x v="0"/>
    <s v="F78"/>
    <x v="0"/>
    <n v="11"/>
    <n v="113"/>
    <s v="Normal"/>
    <n v="187"/>
    <s v="No"/>
    <s v="Normal"/>
    <s v="ST-T Abnormality"/>
    <n v="147"/>
    <s v="Yes"/>
    <s v="Yes"/>
    <s v="High Risk"/>
    <n v="1.272108843537415"/>
  </r>
  <r>
    <s v="P1415"/>
    <x v="415"/>
    <x v="20"/>
    <s v="Medium"/>
    <x v="0"/>
    <s v="F53"/>
    <x v="3"/>
    <n v="12"/>
    <n v="149"/>
    <s v="High BP"/>
    <n v="337"/>
    <s v="Yes"/>
    <s v="Diabetic Risk"/>
    <s v="LV Hypertrophy"/>
    <n v="176"/>
    <s v="No"/>
    <s v="No"/>
    <s v="No Risk"/>
    <n v="1.9147727272727273"/>
  </r>
  <r>
    <s v="P1416"/>
    <x v="416"/>
    <x v="9"/>
    <s v="Medium"/>
    <x v="1"/>
    <s v="M52"/>
    <x v="1"/>
    <n v="14"/>
    <n v="92"/>
    <s v="Normal"/>
    <n v="221"/>
    <s v="No"/>
    <s v="Normal"/>
    <s v="LV Hypertrophy"/>
    <n v="179"/>
    <s v="Yes"/>
    <s v="No"/>
    <s v="No Risk"/>
    <n v="1.23463687150838"/>
  </r>
  <r>
    <s v="P1417"/>
    <x v="417"/>
    <x v="48"/>
    <s v="Low"/>
    <x v="0"/>
    <s v="F41"/>
    <x v="0"/>
    <n v="11"/>
    <n v="109"/>
    <s v="Normal"/>
    <n v="161"/>
    <s v="No"/>
    <s v="Normal"/>
    <s v="ST-T Abnormality"/>
    <n v="118"/>
    <s v="No"/>
    <s v="Yes"/>
    <s v="No Risk"/>
    <n v="1.3644067796610169"/>
  </r>
  <r>
    <s v="P1418"/>
    <x v="418"/>
    <x v="28"/>
    <s v="Low"/>
    <x v="1"/>
    <s v="M35"/>
    <x v="3"/>
    <n v="12"/>
    <n v="135"/>
    <s v="Pre-High BP"/>
    <n v="151"/>
    <s v="Yes"/>
    <s v="Diabetic Risk"/>
    <s v="Normal"/>
    <n v="122"/>
    <s v="Yes"/>
    <s v="No"/>
    <s v="No Risk"/>
    <n v="1.2377049180327868"/>
  </r>
  <r>
    <s v="P1419"/>
    <x v="419"/>
    <x v="10"/>
    <s v="High"/>
    <x v="0"/>
    <s v="F64"/>
    <x v="1"/>
    <n v="14"/>
    <n v="104"/>
    <s v="Normal"/>
    <n v="286"/>
    <s v="No"/>
    <s v="Normal"/>
    <s v="Normal"/>
    <n v="149"/>
    <s v="Yes"/>
    <s v="Yes"/>
    <s v="High Risk"/>
    <n v="1.919463087248322"/>
  </r>
  <r>
    <s v="P1420"/>
    <x v="420"/>
    <x v="44"/>
    <s v="High"/>
    <x v="1"/>
    <s v="M73"/>
    <x v="3"/>
    <n v="12"/>
    <n v="114"/>
    <s v="Normal"/>
    <n v="228"/>
    <s v="Yes"/>
    <s v="Diabetic Risk"/>
    <s v="Normal"/>
    <n v="180"/>
    <s v="Yes"/>
    <s v="Yes"/>
    <s v="High Risk"/>
    <n v="1.2666666666666666"/>
  </r>
  <r>
    <s v="P1421"/>
    <x v="421"/>
    <x v="35"/>
    <s v="Medium"/>
    <x v="1"/>
    <s v="M48"/>
    <x v="2"/>
    <n v="15"/>
    <n v="183"/>
    <s v="High BP"/>
    <n v="155"/>
    <s v="Yes"/>
    <s v="Diabetic Risk"/>
    <s v="Normal"/>
    <n v="178"/>
    <s v="No"/>
    <s v="Yes"/>
    <s v="Medium Risk"/>
    <n v="0.8707865168539326"/>
  </r>
  <r>
    <s v="P1422"/>
    <x v="422"/>
    <x v="46"/>
    <e v="#N/A"/>
    <x v="1"/>
    <s v="M29"/>
    <x v="2"/>
    <n v="15"/>
    <n v="167"/>
    <s v="High BP"/>
    <n v="348"/>
    <s v="No"/>
    <s v="Normal"/>
    <s v="Normal"/>
    <n v="209"/>
    <s v="No"/>
    <s v="No"/>
    <s v="No Risk"/>
    <n v="1.6650717703349283"/>
  </r>
  <r>
    <s v="P1423"/>
    <x v="423"/>
    <x v="4"/>
    <s v="Low"/>
    <x v="0"/>
    <s v="F36"/>
    <x v="1"/>
    <n v="14"/>
    <n v="160"/>
    <s v="High BP"/>
    <n v="216"/>
    <s v="Yes"/>
    <s v="Diabetic Risk"/>
    <s v="LV Hypertrophy"/>
    <n v="144"/>
    <s v="No"/>
    <s v="Yes"/>
    <s v="No Risk"/>
    <n v="1.5"/>
  </r>
  <r>
    <s v="P1424"/>
    <x v="424"/>
    <x v="50"/>
    <s v="High"/>
    <x v="0"/>
    <s v="F74"/>
    <x v="0"/>
    <n v="11"/>
    <n v="106"/>
    <s v="Normal"/>
    <n v="283"/>
    <s v="No"/>
    <s v="Normal"/>
    <s v="ST-T Abnormality"/>
    <n v="99"/>
    <s v="Yes"/>
    <s v="Yes"/>
    <s v="High Risk"/>
    <n v="2.8585858585858586"/>
  </r>
  <r>
    <s v="P1425"/>
    <x v="425"/>
    <x v="1"/>
    <s v="Low"/>
    <x v="0"/>
    <s v="F44"/>
    <x v="1"/>
    <n v="14"/>
    <n v="173"/>
    <s v="High BP"/>
    <n v="250"/>
    <s v="Yes"/>
    <s v="Diabetic Risk"/>
    <s v="LV Hypertrophy"/>
    <n v="136"/>
    <s v="No"/>
    <s v="No"/>
    <s v="No Risk"/>
    <n v="1.838235294117647"/>
  </r>
  <r>
    <s v="P1426"/>
    <x v="426"/>
    <x v="32"/>
    <s v="Low"/>
    <x v="0"/>
    <s v="F42"/>
    <x v="3"/>
    <n v="12"/>
    <n v="189"/>
    <s v="High BP"/>
    <n v="192"/>
    <s v="Yes"/>
    <s v="Diabetic Risk"/>
    <s v="Normal"/>
    <n v="112"/>
    <s v="Yes"/>
    <s v="Yes"/>
    <s v="No Risk"/>
    <n v="1.7142857142857142"/>
  </r>
  <r>
    <s v="P1427"/>
    <x v="427"/>
    <x v="19"/>
    <s v="Low"/>
    <x v="1"/>
    <s v="M40"/>
    <x v="0"/>
    <n v="11"/>
    <n v="98"/>
    <s v="Normal"/>
    <n v="255"/>
    <s v="Yes"/>
    <s v="Diabetic Risk"/>
    <s v="Normal"/>
    <n v="174"/>
    <s v="No"/>
    <s v="No"/>
    <s v="No Risk"/>
    <n v="1.4655172413793103"/>
  </r>
  <r>
    <s v="P1428"/>
    <x v="428"/>
    <x v="26"/>
    <s v="High"/>
    <x v="0"/>
    <s v="F79"/>
    <x v="2"/>
    <n v="15"/>
    <n v="127"/>
    <s v="Pre-High BP"/>
    <n v="216"/>
    <s v="No"/>
    <s v="Normal"/>
    <s v="Normal"/>
    <n v="110"/>
    <s v="Yes"/>
    <s v="No"/>
    <s v="No Risk"/>
    <n v="1.9636363636363636"/>
  </r>
  <r>
    <s v="P1429"/>
    <x v="429"/>
    <x v="7"/>
    <s v="Medium"/>
    <x v="0"/>
    <s v="F51"/>
    <x v="0"/>
    <n v="11"/>
    <n v="137"/>
    <s v="Pre-High BP"/>
    <n v="242"/>
    <s v="No"/>
    <s v="Normal"/>
    <s v="Normal"/>
    <n v="196"/>
    <s v="Yes"/>
    <s v="No"/>
    <s v="No Risk"/>
    <n v="1.2346938775510203"/>
  </r>
  <r>
    <s v="P1430"/>
    <x v="430"/>
    <x v="2"/>
    <s v="Low"/>
    <x v="1"/>
    <s v="M43"/>
    <x v="2"/>
    <n v="15"/>
    <n v="149"/>
    <s v="High BP"/>
    <n v="189"/>
    <s v="Yes"/>
    <s v="Diabetic Risk"/>
    <s v="ST-T Abnormality"/>
    <n v="102"/>
    <s v="Yes"/>
    <s v="No"/>
    <s v="No Risk"/>
    <n v="1.8529411764705883"/>
  </r>
  <r>
    <s v="P1431"/>
    <x v="431"/>
    <x v="24"/>
    <s v="Medium"/>
    <x v="1"/>
    <s v="M56"/>
    <x v="0"/>
    <n v="11"/>
    <n v="152"/>
    <s v="High BP"/>
    <n v="288"/>
    <s v="Yes"/>
    <s v="Diabetic Risk"/>
    <s v="Normal"/>
    <n v="190"/>
    <s v="No"/>
    <s v="Yes"/>
    <s v="Medium Risk"/>
    <n v="1.5157894736842106"/>
  </r>
  <r>
    <s v="P1432"/>
    <x v="432"/>
    <x v="40"/>
    <s v="High"/>
    <x v="1"/>
    <s v="M62"/>
    <x v="0"/>
    <n v="11"/>
    <n v="175"/>
    <s v="High BP"/>
    <n v="315"/>
    <s v="No"/>
    <s v="Normal"/>
    <s v="ST-T Abnormality"/>
    <n v="122"/>
    <s v="No"/>
    <s v="Yes"/>
    <s v="High Risk"/>
    <n v="2.581967213114754"/>
  </r>
  <r>
    <s v="P1433"/>
    <x v="433"/>
    <x v="14"/>
    <s v="Low"/>
    <x v="0"/>
    <s v="F30"/>
    <x v="0"/>
    <n v="11"/>
    <n v="91"/>
    <s v="Normal"/>
    <n v="132"/>
    <s v="No"/>
    <s v="Normal"/>
    <s v="Normal"/>
    <n v="113"/>
    <s v="No"/>
    <s v="Yes"/>
    <s v="No Risk"/>
    <n v="1.168141592920354"/>
  </r>
  <r>
    <s v="P1434"/>
    <x v="434"/>
    <x v="49"/>
    <s v="High"/>
    <x v="1"/>
    <s v="M60"/>
    <x v="3"/>
    <n v="12"/>
    <n v="177"/>
    <s v="High BP"/>
    <n v="168"/>
    <s v="Yes"/>
    <s v="Diabetic Risk"/>
    <s v="ST-T Abnormality"/>
    <n v="197"/>
    <s v="Yes"/>
    <s v="Yes"/>
    <s v="High Risk"/>
    <n v="0.85279187817258884"/>
  </r>
  <r>
    <s v="P1435"/>
    <x v="435"/>
    <x v="7"/>
    <s v="Medium"/>
    <x v="1"/>
    <s v="M51"/>
    <x v="3"/>
    <n v="12"/>
    <n v="161"/>
    <s v="High BP"/>
    <n v="179"/>
    <s v="Yes"/>
    <s v="Diabetic Risk"/>
    <s v="LV Hypertrophy"/>
    <n v="100"/>
    <s v="Yes"/>
    <s v="Yes"/>
    <s v="Medium Risk"/>
    <n v="1.79"/>
  </r>
  <r>
    <s v="P1436"/>
    <x v="436"/>
    <x v="13"/>
    <s v="Medium"/>
    <x v="1"/>
    <s v="M50"/>
    <x v="1"/>
    <n v="14"/>
    <n v="100"/>
    <s v="Normal"/>
    <n v="249"/>
    <s v="No"/>
    <s v="Normal"/>
    <s v="Normal"/>
    <n v="106"/>
    <s v="No"/>
    <s v="No"/>
    <s v="No Risk"/>
    <n v="2.3490566037735849"/>
  </r>
  <r>
    <s v="P1437"/>
    <x v="437"/>
    <x v="26"/>
    <s v="High"/>
    <x v="0"/>
    <s v="F79"/>
    <x v="1"/>
    <n v="14"/>
    <n v="153"/>
    <s v="High BP"/>
    <n v="307"/>
    <s v="No"/>
    <s v="Normal"/>
    <s v="ST-T Abnormality"/>
    <n v="157"/>
    <s v="No"/>
    <s v="Yes"/>
    <s v="High Risk"/>
    <n v="1.9554140127388535"/>
  </r>
  <r>
    <s v="P1438"/>
    <x v="438"/>
    <x v="20"/>
    <s v="Medium"/>
    <x v="1"/>
    <s v="M53"/>
    <x v="2"/>
    <n v="15"/>
    <n v="166"/>
    <s v="High BP"/>
    <n v="124"/>
    <s v="No"/>
    <s v="Normal"/>
    <s v="LV Hypertrophy"/>
    <n v="136"/>
    <s v="No"/>
    <s v="Yes"/>
    <s v="Medium Risk"/>
    <n v="0.91176470588235292"/>
  </r>
  <r>
    <s v="P1439"/>
    <x v="439"/>
    <x v="13"/>
    <s v="Medium"/>
    <x v="0"/>
    <s v="F50"/>
    <x v="3"/>
    <n v="12"/>
    <n v="170"/>
    <s v="High BP"/>
    <n v="291"/>
    <s v="No"/>
    <s v="Normal"/>
    <s v="Normal"/>
    <n v="114"/>
    <s v="Yes"/>
    <s v="Yes"/>
    <s v="Medium Risk"/>
    <n v="2.5526315789473686"/>
  </r>
  <r>
    <s v="P1440"/>
    <x v="440"/>
    <x v="13"/>
    <s v="Medium"/>
    <x v="0"/>
    <s v="F50"/>
    <x v="2"/>
    <n v="15"/>
    <n v="161"/>
    <s v="High BP"/>
    <n v="146"/>
    <s v="No"/>
    <s v="Normal"/>
    <s v="Normal"/>
    <n v="183"/>
    <s v="Yes"/>
    <s v="No"/>
    <s v="No Risk"/>
    <n v="0.79781420765027322"/>
  </r>
  <r>
    <s v="P1441"/>
    <x v="441"/>
    <x v="21"/>
    <s v="High"/>
    <x v="1"/>
    <s v="M77"/>
    <x v="1"/>
    <n v="14"/>
    <n v="110"/>
    <s v="Normal"/>
    <n v="279"/>
    <s v="Yes"/>
    <s v="Diabetic Risk"/>
    <s v="Normal"/>
    <n v="162"/>
    <s v="Yes"/>
    <s v="No"/>
    <s v="No Risk"/>
    <n v="1.7222222222222223"/>
  </r>
  <r>
    <s v="P1442"/>
    <x v="442"/>
    <x v="23"/>
    <s v="High"/>
    <x v="1"/>
    <s v="M70"/>
    <x v="2"/>
    <n v="15"/>
    <n v="107"/>
    <s v="Normal"/>
    <n v="268"/>
    <s v="No"/>
    <s v="Normal"/>
    <s v="ST-T Abnormality"/>
    <n v="110"/>
    <s v="Yes"/>
    <s v="Yes"/>
    <s v="High Risk"/>
    <n v="2.4363636363636365"/>
  </r>
  <r>
    <s v="P1443"/>
    <x v="443"/>
    <x v="38"/>
    <s v="Low"/>
    <x v="0"/>
    <s v="F34"/>
    <x v="1"/>
    <n v="14"/>
    <n v="183"/>
    <s v="High BP"/>
    <n v="127"/>
    <s v="Yes"/>
    <s v="Diabetic Risk"/>
    <s v="ST-T Abnormality"/>
    <n v="173"/>
    <s v="Yes"/>
    <s v="No"/>
    <s v="No Risk"/>
    <n v="0.73410404624277459"/>
  </r>
  <r>
    <s v="P1444"/>
    <x v="444"/>
    <x v="2"/>
    <s v="Low"/>
    <x v="1"/>
    <s v="M43"/>
    <x v="3"/>
    <n v="12"/>
    <n v="153"/>
    <s v="High BP"/>
    <n v="349"/>
    <s v="No"/>
    <s v="Normal"/>
    <s v="LV Hypertrophy"/>
    <n v="172"/>
    <s v="No"/>
    <s v="Yes"/>
    <s v="No Risk"/>
    <n v="2.0290697674418605"/>
  </r>
  <r>
    <s v="P1445"/>
    <x v="445"/>
    <x v="3"/>
    <s v="High"/>
    <x v="1"/>
    <s v="M71"/>
    <x v="0"/>
    <n v="11"/>
    <n v="171"/>
    <s v="High BP"/>
    <n v="319"/>
    <s v="Yes"/>
    <s v="Diabetic Risk"/>
    <s v="ST-T Abnormality"/>
    <n v="172"/>
    <s v="Yes"/>
    <s v="Yes"/>
    <s v="High Risk"/>
    <n v="1.8546511627906976"/>
  </r>
  <r>
    <s v="P1446"/>
    <x v="446"/>
    <x v="27"/>
    <s v="High"/>
    <x v="0"/>
    <s v="F65"/>
    <x v="3"/>
    <n v="12"/>
    <n v="184"/>
    <s v="High BP"/>
    <n v="169"/>
    <s v="No"/>
    <s v="Normal"/>
    <s v="ST-T Abnormality"/>
    <n v="101"/>
    <s v="Yes"/>
    <s v="No"/>
    <s v="No Risk"/>
    <n v="1.6732673267326732"/>
  </r>
  <r>
    <s v="P1447"/>
    <x v="447"/>
    <x v="18"/>
    <s v="High"/>
    <x v="0"/>
    <s v="F61"/>
    <x v="2"/>
    <n v="15"/>
    <n v="127"/>
    <s v="Pre-High BP"/>
    <n v="186"/>
    <s v="No"/>
    <s v="Normal"/>
    <s v="Normal"/>
    <n v="126"/>
    <s v="Yes"/>
    <s v="No"/>
    <s v="No Risk"/>
    <n v="1.4761904761904763"/>
  </r>
  <r>
    <s v="P1448"/>
    <x v="448"/>
    <x v="4"/>
    <s v="Low"/>
    <x v="1"/>
    <s v="M36"/>
    <x v="2"/>
    <n v="15"/>
    <n v="121"/>
    <s v="Pre-High BP"/>
    <n v="163"/>
    <s v="Yes"/>
    <s v="Diabetic Risk"/>
    <s v="Normal"/>
    <n v="131"/>
    <s v="Yes"/>
    <s v="Yes"/>
    <s v="No Risk"/>
    <n v="1.2442748091603053"/>
  </r>
  <r>
    <s v="P1449"/>
    <x v="449"/>
    <x v="15"/>
    <s v="High"/>
    <x v="0"/>
    <s v="F72"/>
    <x v="3"/>
    <n v="12"/>
    <n v="100"/>
    <s v="Normal"/>
    <n v="244"/>
    <s v="Yes"/>
    <s v="Diabetic Risk"/>
    <s v="Normal"/>
    <n v="106"/>
    <s v="Yes"/>
    <s v="Yes"/>
    <s v="High Risk"/>
    <n v="2.3018867924528301"/>
  </r>
  <r>
    <s v="P1450"/>
    <x v="450"/>
    <x v="15"/>
    <s v="High"/>
    <x v="1"/>
    <s v="M72"/>
    <x v="3"/>
    <n v="12"/>
    <n v="134"/>
    <s v="Pre-High BP"/>
    <n v="177"/>
    <s v="No"/>
    <s v="Normal"/>
    <s v="Normal"/>
    <n v="190"/>
    <s v="No"/>
    <s v="No"/>
    <s v="No Risk"/>
    <n v="0.93157894736842106"/>
  </r>
  <r>
    <s v="P1451"/>
    <x v="451"/>
    <x v="47"/>
    <s v="Low"/>
    <x v="1"/>
    <s v="M33"/>
    <x v="1"/>
    <n v="14"/>
    <n v="178"/>
    <s v="High BP"/>
    <n v="122"/>
    <s v="No"/>
    <s v="Normal"/>
    <s v="Normal"/>
    <n v="207"/>
    <s v="Yes"/>
    <s v="Yes"/>
    <s v="No Risk"/>
    <n v="0.58937198067632846"/>
  </r>
  <r>
    <s v="P1452"/>
    <x v="452"/>
    <x v="0"/>
    <s v="High"/>
    <x v="1"/>
    <s v="M67"/>
    <x v="2"/>
    <n v="15"/>
    <n v="122"/>
    <s v="Pre-High BP"/>
    <n v="205"/>
    <s v="No"/>
    <s v="Normal"/>
    <s v="Normal"/>
    <n v="137"/>
    <s v="Yes"/>
    <s v="No"/>
    <s v="No Risk"/>
    <n v="1.4963503649635037"/>
  </r>
  <r>
    <s v="P1453"/>
    <x v="453"/>
    <x v="31"/>
    <s v="Low"/>
    <x v="0"/>
    <s v="F32"/>
    <x v="2"/>
    <n v="15"/>
    <n v="130"/>
    <s v="Pre-High BP"/>
    <n v="189"/>
    <s v="No"/>
    <s v="Normal"/>
    <s v="Normal"/>
    <n v="192"/>
    <s v="Yes"/>
    <s v="Yes"/>
    <s v="No Risk"/>
    <n v="0.984375"/>
  </r>
  <r>
    <s v="P1454"/>
    <x v="454"/>
    <x v="38"/>
    <s v="Low"/>
    <x v="1"/>
    <s v="M34"/>
    <x v="3"/>
    <n v="12"/>
    <n v="97"/>
    <s v="Normal"/>
    <n v="249"/>
    <s v="No"/>
    <s v="Normal"/>
    <s v="LV Hypertrophy"/>
    <n v="117"/>
    <s v="No"/>
    <s v="No"/>
    <s v="No Risk"/>
    <n v="2.1282051282051282"/>
  </r>
  <r>
    <s v="P1455"/>
    <x v="455"/>
    <x v="44"/>
    <s v="High"/>
    <x v="1"/>
    <s v="M73"/>
    <x v="0"/>
    <n v="11"/>
    <n v="100"/>
    <s v="Normal"/>
    <n v="334"/>
    <s v="Yes"/>
    <s v="Diabetic Risk"/>
    <s v="LV Hypertrophy"/>
    <n v="130"/>
    <s v="No"/>
    <s v="Yes"/>
    <s v="High Risk"/>
    <n v="2.5692307692307694"/>
  </r>
  <r>
    <s v="P1456"/>
    <x v="456"/>
    <x v="49"/>
    <s v="High"/>
    <x v="1"/>
    <s v="M60"/>
    <x v="2"/>
    <n v="15"/>
    <n v="175"/>
    <s v="High BP"/>
    <n v="291"/>
    <s v="Yes"/>
    <s v="Diabetic Risk"/>
    <s v="LV Hypertrophy"/>
    <n v="188"/>
    <s v="No"/>
    <s v="Yes"/>
    <s v="High Risk"/>
    <n v="1.5478723404255319"/>
  </r>
  <r>
    <s v="P1457"/>
    <x v="457"/>
    <x v="16"/>
    <s v="Medium"/>
    <x v="0"/>
    <s v="F58"/>
    <x v="0"/>
    <n v="11"/>
    <n v="140"/>
    <s v="High BP"/>
    <n v="121"/>
    <s v="No"/>
    <s v="Normal"/>
    <s v="LV Hypertrophy"/>
    <n v="136"/>
    <s v="Yes"/>
    <s v="No"/>
    <s v="No Risk"/>
    <n v="0.88970588235294112"/>
  </r>
  <r>
    <s v="P1458"/>
    <x v="458"/>
    <x v="25"/>
    <s v="High"/>
    <x v="0"/>
    <s v="F75"/>
    <x v="3"/>
    <n v="12"/>
    <n v="177"/>
    <s v="High BP"/>
    <n v="221"/>
    <s v="Yes"/>
    <s v="Diabetic Risk"/>
    <s v="Normal"/>
    <n v="201"/>
    <s v="No"/>
    <s v="Yes"/>
    <s v="High Risk"/>
    <n v="1.099502487562189"/>
  </r>
  <r>
    <s v="P1459"/>
    <x v="459"/>
    <x v="36"/>
    <s v="High"/>
    <x v="0"/>
    <s v="F63"/>
    <x v="3"/>
    <n v="12"/>
    <n v="130"/>
    <s v="Pre-High BP"/>
    <n v="328"/>
    <s v="Yes"/>
    <s v="Diabetic Risk"/>
    <s v="LV Hypertrophy"/>
    <n v="107"/>
    <s v="Yes"/>
    <s v="Yes"/>
    <s v="High Risk"/>
    <n v="3.0654205607476634"/>
  </r>
  <r>
    <s v="P1460"/>
    <x v="460"/>
    <x v="11"/>
    <s v="High"/>
    <x v="0"/>
    <s v="F68"/>
    <x v="1"/>
    <n v="14"/>
    <n v="106"/>
    <s v="Normal"/>
    <n v="154"/>
    <s v="Yes"/>
    <s v="Diabetic Risk"/>
    <s v="Normal"/>
    <n v="167"/>
    <s v="Yes"/>
    <s v="No"/>
    <s v="No Risk"/>
    <n v="0.92215568862275454"/>
  </r>
  <r>
    <s v="P1461"/>
    <x v="461"/>
    <x v="1"/>
    <s v="Low"/>
    <x v="0"/>
    <s v="F44"/>
    <x v="2"/>
    <n v="15"/>
    <n v="165"/>
    <s v="High BP"/>
    <n v="217"/>
    <s v="No"/>
    <s v="Normal"/>
    <s v="LV Hypertrophy"/>
    <n v="188"/>
    <s v="No"/>
    <s v="Yes"/>
    <s v="No Risk"/>
    <n v="1.1542553191489362"/>
  </r>
  <r>
    <s v="P1462"/>
    <x v="462"/>
    <x v="48"/>
    <s v="Low"/>
    <x v="1"/>
    <s v="M41"/>
    <x v="0"/>
    <n v="11"/>
    <n v="135"/>
    <s v="Pre-High BP"/>
    <n v="334"/>
    <s v="Yes"/>
    <s v="Diabetic Risk"/>
    <s v="ST-T Abnormality"/>
    <n v="197"/>
    <s v="Yes"/>
    <s v="Yes"/>
    <s v="No Risk"/>
    <n v="1.6954314720812182"/>
  </r>
  <r>
    <s v="P1463"/>
    <x v="463"/>
    <x v="33"/>
    <s v="High"/>
    <x v="0"/>
    <s v="F78"/>
    <x v="1"/>
    <n v="14"/>
    <n v="121"/>
    <s v="Pre-High BP"/>
    <n v="149"/>
    <s v="No"/>
    <s v="Normal"/>
    <s v="LV Hypertrophy"/>
    <n v="194"/>
    <s v="Yes"/>
    <s v="Yes"/>
    <s v="High Risk"/>
    <n v="0.76804123711340211"/>
  </r>
  <r>
    <s v="P1464"/>
    <x v="464"/>
    <x v="23"/>
    <s v="High"/>
    <x v="0"/>
    <s v="F70"/>
    <x v="2"/>
    <n v="15"/>
    <n v="168"/>
    <s v="High BP"/>
    <n v="235"/>
    <s v="Yes"/>
    <s v="Diabetic Risk"/>
    <s v="LV Hypertrophy"/>
    <n v="160"/>
    <s v="Yes"/>
    <s v="No"/>
    <s v="No Risk"/>
    <n v="1.46875"/>
  </r>
  <r>
    <s v="P1465"/>
    <x v="465"/>
    <x v="16"/>
    <s v="Medium"/>
    <x v="0"/>
    <s v="F58"/>
    <x v="1"/>
    <n v="14"/>
    <n v="169"/>
    <s v="High BP"/>
    <n v="127"/>
    <s v="No"/>
    <s v="Normal"/>
    <s v="Normal"/>
    <n v="194"/>
    <s v="No"/>
    <s v="No"/>
    <s v="No Risk"/>
    <n v="0.65463917525773196"/>
  </r>
  <r>
    <s v="P1466"/>
    <x v="466"/>
    <x v="6"/>
    <s v="Medium"/>
    <x v="1"/>
    <s v="M47"/>
    <x v="3"/>
    <n v="12"/>
    <n v="143"/>
    <s v="High BP"/>
    <n v="269"/>
    <s v="Yes"/>
    <s v="Diabetic Risk"/>
    <s v="LV Hypertrophy"/>
    <n v="102"/>
    <s v="Yes"/>
    <s v="No"/>
    <s v="No Risk"/>
    <n v="2.6372549019607843"/>
  </r>
  <r>
    <s v="P1467"/>
    <x v="467"/>
    <x v="37"/>
    <s v="Medium"/>
    <x v="0"/>
    <s v="F45"/>
    <x v="2"/>
    <n v="15"/>
    <n v="175"/>
    <s v="High BP"/>
    <n v="163"/>
    <s v="No"/>
    <s v="Normal"/>
    <s v="ST-T Abnormality"/>
    <n v="171"/>
    <s v="Yes"/>
    <s v="Yes"/>
    <s v="Medium Risk"/>
    <n v="0.95321637426900585"/>
  </r>
  <r>
    <s v="P1468"/>
    <x v="468"/>
    <x v="6"/>
    <s v="Medium"/>
    <x v="0"/>
    <s v="F47"/>
    <x v="1"/>
    <n v="14"/>
    <n v="181"/>
    <s v="High BP"/>
    <n v="305"/>
    <s v="No"/>
    <s v="Normal"/>
    <s v="Normal"/>
    <n v="190"/>
    <s v="No"/>
    <s v="Yes"/>
    <s v="Medium Risk"/>
    <n v="1.6052631578947369"/>
  </r>
  <r>
    <s v="P1469"/>
    <x v="469"/>
    <x v="24"/>
    <s v="Medium"/>
    <x v="1"/>
    <s v="M56"/>
    <x v="1"/>
    <n v="14"/>
    <n v="109"/>
    <s v="Normal"/>
    <n v="155"/>
    <s v="Yes"/>
    <s v="Diabetic Risk"/>
    <s v="Normal"/>
    <n v="102"/>
    <s v="Yes"/>
    <s v="Yes"/>
    <s v="Medium Risk"/>
    <n v="1.5196078431372548"/>
  </r>
  <r>
    <s v="P1470"/>
    <x v="470"/>
    <x v="34"/>
    <s v="Medium"/>
    <x v="0"/>
    <s v="F54"/>
    <x v="0"/>
    <n v="11"/>
    <n v="122"/>
    <s v="Pre-High BP"/>
    <n v="316"/>
    <s v="No"/>
    <s v="Normal"/>
    <s v="LV Hypertrophy"/>
    <n v="189"/>
    <s v="Yes"/>
    <s v="Yes"/>
    <s v="Medium Risk"/>
    <n v="1.6719576719576719"/>
  </r>
  <r>
    <s v="P1471"/>
    <x v="471"/>
    <x v="27"/>
    <s v="High"/>
    <x v="1"/>
    <s v="M65"/>
    <x v="1"/>
    <n v="14"/>
    <n v="163"/>
    <s v="High BP"/>
    <n v="196"/>
    <s v="No"/>
    <s v="Normal"/>
    <s v="Normal"/>
    <n v="120"/>
    <s v="No"/>
    <s v="No"/>
    <s v="No Risk"/>
    <n v="1.6333333333333333"/>
  </r>
  <r>
    <s v="P1472"/>
    <x v="472"/>
    <x v="34"/>
    <s v="Medium"/>
    <x v="1"/>
    <s v="M54"/>
    <x v="2"/>
    <n v="15"/>
    <n v="129"/>
    <s v="Pre-High BP"/>
    <n v="340"/>
    <s v="No"/>
    <s v="Normal"/>
    <s v="Normal"/>
    <n v="91"/>
    <s v="Yes"/>
    <s v="Yes"/>
    <s v="Medium Risk"/>
    <n v="3.7362637362637363"/>
  </r>
  <r>
    <s v="P1473"/>
    <x v="473"/>
    <x v="7"/>
    <s v="Medium"/>
    <x v="1"/>
    <s v="M51"/>
    <x v="2"/>
    <n v="15"/>
    <n v="121"/>
    <s v="Pre-High BP"/>
    <n v="150"/>
    <s v="No"/>
    <s v="Normal"/>
    <s v="Normal"/>
    <n v="105"/>
    <s v="Yes"/>
    <s v="Yes"/>
    <s v="Medium Risk"/>
    <n v="1.4285714285714286"/>
  </r>
  <r>
    <s v="P1474"/>
    <x v="474"/>
    <x v="29"/>
    <s v="Low"/>
    <x v="1"/>
    <s v="M37"/>
    <x v="0"/>
    <n v="11"/>
    <n v="186"/>
    <s v="High BP"/>
    <n v="166"/>
    <s v="No"/>
    <s v="Normal"/>
    <s v="Normal"/>
    <n v="98"/>
    <s v="Yes"/>
    <s v="Yes"/>
    <s v="No Risk"/>
    <n v="1.6938775510204083"/>
  </r>
  <r>
    <s v="P1475"/>
    <x v="475"/>
    <x v="19"/>
    <s v="Low"/>
    <x v="1"/>
    <s v="M40"/>
    <x v="2"/>
    <n v="15"/>
    <n v="91"/>
    <s v="Normal"/>
    <n v="174"/>
    <s v="No"/>
    <s v="Normal"/>
    <s v="Normal"/>
    <n v="162"/>
    <s v="Yes"/>
    <s v="No"/>
    <s v="No Risk"/>
    <n v="1.0740740740740742"/>
  </r>
  <r>
    <s v="P1476"/>
    <x v="476"/>
    <x v="46"/>
    <e v="#N/A"/>
    <x v="0"/>
    <s v="F29"/>
    <x v="3"/>
    <n v="12"/>
    <n v="186"/>
    <s v="High BP"/>
    <n v="327"/>
    <s v="No"/>
    <s v="Normal"/>
    <s v="Normal"/>
    <n v="127"/>
    <s v="Yes"/>
    <s v="Yes"/>
    <s v="No Risk"/>
    <n v="2.5748031496062991"/>
  </r>
  <r>
    <s v="P1477"/>
    <x v="477"/>
    <x v="46"/>
    <e v="#N/A"/>
    <x v="1"/>
    <s v="M29"/>
    <x v="2"/>
    <n v="15"/>
    <n v="122"/>
    <s v="Pre-High BP"/>
    <n v="225"/>
    <s v="No"/>
    <s v="Normal"/>
    <s v="ST-T Abnormality"/>
    <n v="164"/>
    <s v="No"/>
    <s v="Yes"/>
    <s v="No Risk"/>
    <n v="1.3719512195121952"/>
  </r>
  <r>
    <s v="P1478"/>
    <x v="478"/>
    <x v="25"/>
    <s v="High"/>
    <x v="1"/>
    <s v="M75"/>
    <x v="2"/>
    <n v="15"/>
    <n v="166"/>
    <s v="High BP"/>
    <n v="309"/>
    <s v="Yes"/>
    <s v="Diabetic Risk"/>
    <s v="LV Hypertrophy"/>
    <n v="143"/>
    <s v="No"/>
    <s v="Yes"/>
    <s v="High Risk"/>
    <n v="2.1608391608391608"/>
  </r>
  <r>
    <s v="P1479"/>
    <x v="479"/>
    <x v="40"/>
    <s v="High"/>
    <x v="0"/>
    <s v="F62"/>
    <x v="1"/>
    <n v="14"/>
    <n v="119"/>
    <s v="Normal"/>
    <n v="277"/>
    <s v="Yes"/>
    <s v="Diabetic Risk"/>
    <s v="ST-T Abnormality"/>
    <n v="145"/>
    <s v="No"/>
    <s v="Yes"/>
    <s v="High Risk"/>
    <n v="1.9103448275862069"/>
  </r>
  <r>
    <s v="P1480"/>
    <x v="480"/>
    <x v="49"/>
    <s v="High"/>
    <x v="1"/>
    <s v="M60"/>
    <x v="1"/>
    <n v="14"/>
    <n v="122"/>
    <s v="Pre-High BP"/>
    <n v="240"/>
    <s v="No"/>
    <s v="Normal"/>
    <s v="Normal"/>
    <n v="175"/>
    <s v="No"/>
    <s v="Yes"/>
    <s v="High Risk"/>
    <n v="1.3714285714285714"/>
  </r>
  <r>
    <s v="P1481"/>
    <x v="481"/>
    <x v="43"/>
    <s v="High"/>
    <x v="0"/>
    <s v="F76"/>
    <x v="2"/>
    <n v="15"/>
    <n v="166"/>
    <s v="High BP"/>
    <n v="174"/>
    <s v="No"/>
    <s v="Normal"/>
    <s v="Normal"/>
    <n v="186"/>
    <s v="Yes"/>
    <s v="No"/>
    <s v="No Risk"/>
    <n v="0.93548387096774188"/>
  </r>
  <r>
    <s v="P1482"/>
    <x v="482"/>
    <x v="20"/>
    <s v="Medium"/>
    <x v="0"/>
    <s v="F53"/>
    <x v="0"/>
    <n v="11"/>
    <n v="115"/>
    <s v="Normal"/>
    <n v="263"/>
    <s v="Yes"/>
    <s v="Diabetic Risk"/>
    <s v="LV Hypertrophy"/>
    <n v="189"/>
    <s v="Yes"/>
    <s v="Yes"/>
    <s v="Medium Risk"/>
    <n v="1.3915343915343916"/>
  </r>
  <r>
    <s v="P1483"/>
    <x v="483"/>
    <x v="11"/>
    <s v="High"/>
    <x v="0"/>
    <s v="F68"/>
    <x v="1"/>
    <n v="14"/>
    <n v="111"/>
    <s v="Normal"/>
    <n v="131"/>
    <s v="Yes"/>
    <s v="Diabetic Risk"/>
    <s v="ST-T Abnormality"/>
    <n v="198"/>
    <s v="Yes"/>
    <s v="Yes"/>
    <s v="High Risk"/>
    <n v="0.66161616161616166"/>
  </r>
  <r>
    <s v="P1484"/>
    <x v="484"/>
    <x v="44"/>
    <s v="High"/>
    <x v="1"/>
    <s v="M73"/>
    <x v="0"/>
    <n v="11"/>
    <n v="155"/>
    <s v="High BP"/>
    <n v="264"/>
    <s v="Yes"/>
    <s v="Diabetic Risk"/>
    <s v="LV Hypertrophy"/>
    <n v="176"/>
    <s v="Yes"/>
    <s v="Yes"/>
    <s v="High Risk"/>
    <n v="1.5"/>
  </r>
  <r>
    <s v="P1485"/>
    <x v="485"/>
    <x v="46"/>
    <e v="#N/A"/>
    <x v="1"/>
    <s v="M29"/>
    <x v="2"/>
    <n v="15"/>
    <n v="127"/>
    <s v="Pre-High BP"/>
    <n v="263"/>
    <s v="No"/>
    <s v="Normal"/>
    <s v="ST-T Abnormality"/>
    <n v="134"/>
    <s v="Yes"/>
    <s v="Yes"/>
    <s v="No Risk"/>
    <n v="1.9626865671641791"/>
  </r>
  <r>
    <s v="P1486"/>
    <x v="486"/>
    <x v="1"/>
    <s v="Low"/>
    <x v="1"/>
    <s v="M44"/>
    <x v="2"/>
    <n v="15"/>
    <n v="179"/>
    <s v="High BP"/>
    <n v="259"/>
    <s v="Yes"/>
    <s v="Diabetic Risk"/>
    <s v="Normal"/>
    <n v="198"/>
    <s v="No"/>
    <s v="Yes"/>
    <s v="No Risk"/>
    <n v="1.3080808080808082"/>
  </r>
  <r>
    <s v="P1487"/>
    <x v="487"/>
    <x v="0"/>
    <s v="High"/>
    <x v="0"/>
    <s v="F67"/>
    <x v="3"/>
    <n v="12"/>
    <n v="135"/>
    <s v="Pre-High BP"/>
    <n v="255"/>
    <s v="No"/>
    <s v="Normal"/>
    <s v="LV Hypertrophy"/>
    <n v="123"/>
    <s v="No"/>
    <s v="Yes"/>
    <s v="High Risk"/>
    <n v="2.0731707317073171"/>
  </r>
  <r>
    <s v="P1488"/>
    <x v="488"/>
    <x v="47"/>
    <s v="Low"/>
    <x v="1"/>
    <s v="M33"/>
    <x v="1"/>
    <n v="14"/>
    <n v="104"/>
    <s v="Normal"/>
    <n v="331"/>
    <s v="No"/>
    <s v="Normal"/>
    <s v="LV Hypertrophy"/>
    <n v="98"/>
    <s v="Yes"/>
    <s v="Yes"/>
    <s v="No Risk"/>
    <n v="3.3775510204081631"/>
  </r>
  <r>
    <s v="P1489"/>
    <x v="489"/>
    <x v="13"/>
    <s v="Medium"/>
    <x v="1"/>
    <s v="M50"/>
    <x v="2"/>
    <n v="15"/>
    <n v="187"/>
    <s v="High BP"/>
    <n v="122"/>
    <s v="Yes"/>
    <s v="Diabetic Risk"/>
    <s v="Normal"/>
    <n v="177"/>
    <s v="Yes"/>
    <s v="Yes"/>
    <s v="Medium Risk"/>
    <n v="0.68926553672316382"/>
  </r>
  <r>
    <s v="P1490"/>
    <x v="490"/>
    <x v="39"/>
    <s v="Medium"/>
    <x v="1"/>
    <s v="M57"/>
    <x v="3"/>
    <n v="12"/>
    <n v="133"/>
    <s v="Pre-High BP"/>
    <n v="263"/>
    <s v="No"/>
    <s v="Normal"/>
    <s v="LV Hypertrophy"/>
    <n v="97"/>
    <s v="Yes"/>
    <s v="Yes"/>
    <s v="Medium Risk"/>
    <n v="2.7113402061855671"/>
  </r>
  <r>
    <s v="P1491"/>
    <x v="491"/>
    <x v="12"/>
    <s v="Low"/>
    <x v="0"/>
    <s v="F31"/>
    <x v="1"/>
    <n v="14"/>
    <n v="138"/>
    <s v="Pre-High BP"/>
    <n v="149"/>
    <s v="No"/>
    <s v="Normal"/>
    <s v="ST-T Abnormality"/>
    <n v="96"/>
    <s v="No"/>
    <s v="Yes"/>
    <s v="No Risk"/>
    <n v="1.5520833333333333"/>
  </r>
  <r>
    <s v="P1492"/>
    <x v="492"/>
    <x v="19"/>
    <s v="Low"/>
    <x v="0"/>
    <s v="F40"/>
    <x v="2"/>
    <n v="15"/>
    <n v="164"/>
    <s v="High BP"/>
    <n v="142"/>
    <s v="No"/>
    <s v="Normal"/>
    <s v="ST-T Abnormality"/>
    <n v="125"/>
    <s v="Yes"/>
    <s v="No"/>
    <s v="No Risk"/>
    <n v="1.1359999999999999"/>
  </r>
  <r>
    <s v="P1493"/>
    <x v="493"/>
    <x v="34"/>
    <s v="Medium"/>
    <x v="1"/>
    <s v="M54"/>
    <x v="2"/>
    <n v="15"/>
    <n v="150"/>
    <s v="High BP"/>
    <n v="211"/>
    <s v="No"/>
    <s v="Normal"/>
    <s v="ST-T Abnormality"/>
    <n v="107"/>
    <s v="Yes"/>
    <s v="No"/>
    <s v="No Risk"/>
    <n v="1.97196261682243"/>
  </r>
  <r>
    <s v="P1494"/>
    <x v="494"/>
    <x v="1"/>
    <s v="Low"/>
    <x v="1"/>
    <s v="M44"/>
    <x v="1"/>
    <n v="14"/>
    <n v="156"/>
    <s v="High BP"/>
    <n v="234"/>
    <s v="Yes"/>
    <s v="Diabetic Risk"/>
    <s v="ST-T Abnormality"/>
    <n v="92"/>
    <s v="Yes"/>
    <s v="No"/>
    <s v="No Risk"/>
    <n v="2.5434782608695654"/>
  </r>
  <r>
    <s v="P1495"/>
    <x v="495"/>
    <x v="26"/>
    <s v="High"/>
    <x v="1"/>
    <s v="M79"/>
    <x v="1"/>
    <n v="14"/>
    <n v="95"/>
    <s v="Normal"/>
    <n v="223"/>
    <s v="Yes"/>
    <s v="Diabetic Risk"/>
    <s v="Normal"/>
    <n v="117"/>
    <s v="No"/>
    <s v="No"/>
    <s v="No Risk"/>
    <n v="1.9059829059829059"/>
  </r>
  <r>
    <s v="P1496"/>
    <x v="496"/>
    <x v="27"/>
    <s v="High"/>
    <x v="1"/>
    <s v="M65"/>
    <x v="1"/>
    <n v="14"/>
    <n v="98"/>
    <s v="Normal"/>
    <n v="237"/>
    <s v="No"/>
    <s v="Normal"/>
    <s v="LV Hypertrophy"/>
    <n v="159"/>
    <s v="Yes"/>
    <s v="Yes"/>
    <s v="High Risk"/>
    <n v="1.4905660377358489"/>
  </r>
  <r>
    <s v="P1497"/>
    <x v="497"/>
    <x v="13"/>
    <s v="Medium"/>
    <x v="0"/>
    <s v="F50"/>
    <x v="2"/>
    <n v="15"/>
    <n v="95"/>
    <s v="Normal"/>
    <n v="124"/>
    <s v="No"/>
    <s v="Normal"/>
    <s v="ST-T Abnormality"/>
    <n v="197"/>
    <s v="No"/>
    <s v="No"/>
    <s v="No Risk"/>
    <n v="0.62944162436548223"/>
  </r>
  <r>
    <s v="P1498"/>
    <x v="498"/>
    <x v="39"/>
    <s v="Medium"/>
    <x v="0"/>
    <s v="F57"/>
    <x v="2"/>
    <n v="15"/>
    <n v="162"/>
    <s v="High BP"/>
    <n v="331"/>
    <s v="Yes"/>
    <s v="Diabetic Risk"/>
    <s v="Normal"/>
    <n v="133"/>
    <s v="No"/>
    <s v="No"/>
    <s v="No Risk"/>
    <n v="2.488721804511278"/>
  </r>
  <r>
    <s v="P1499"/>
    <x v="499"/>
    <x v="32"/>
    <s v="Low"/>
    <x v="0"/>
    <s v="F42"/>
    <x v="3"/>
    <n v="12"/>
    <n v="184"/>
    <s v="High BP"/>
    <n v="223"/>
    <s v="No"/>
    <s v="Normal"/>
    <s v="LV Hypertrophy"/>
    <n v="110"/>
    <s v="No"/>
    <s v="Yes"/>
    <s v="No Risk"/>
    <n v="2.0272727272727273"/>
  </r>
  <r>
    <s v="P1500"/>
    <x v="500"/>
    <x v="24"/>
    <s v="Medium"/>
    <x v="0"/>
    <s v="F56"/>
    <x v="0"/>
    <n v="11"/>
    <n v="121"/>
    <s v="Pre-High BP"/>
    <n v="227"/>
    <s v="Yes"/>
    <s v="Diabetic Risk"/>
    <s v="LV Hypertrophy"/>
    <n v="117"/>
    <s v="No"/>
    <s v="No"/>
    <s v="No Risk"/>
    <n v="1.9401709401709402"/>
  </r>
  <r>
    <s v="P1501"/>
    <x v="501"/>
    <x v="47"/>
    <s v="Low"/>
    <x v="1"/>
    <s v="M33"/>
    <x v="1"/>
    <n v="14"/>
    <n v="130"/>
    <s v="Pre-High BP"/>
    <n v="184"/>
    <s v="No"/>
    <s v="Normal"/>
    <s v="Normal"/>
    <n v="193"/>
    <s v="No"/>
    <s v="No"/>
    <s v="No Risk"/>
    <n v="0.95336787564766834"/>
  </r>
  <r>
    <s v="P1502"/>
    <x v="502"/>
    <x v="25"/>
    <s v="High"/>
    <x v="1"/>
    <s v="M75"/>
    <x v="2"/>
    <n v="15"/>
    <n v="165"/>
    <s v="High BP"/>
    <n v="240"/>
    <s v="No"/>
    <s v="Normal"/>
    <s v="Normal"/>
    <n v="143"/>
    <s v="No"/>
    <s v="Yes"/>
    <s v="High Risk"/>
    <n v="1.6783216783216783"/>
  </r>
  <r>
    <s v="P1503"/>
    <x v="503"/>
    <x v="21"/>
    <s v="High"/>
    <x v="1"/>
    <s v="M77"/>
    <x v="2"/>
    <n v="15"/>
    <n v="97"/>
    <s v="Normal"/>
    <n v="149"/>
    <s v="Yes"/>
    <s v="Diabetic Risk"/>
    <s v="ST-T Abnormality"/>
    <n v="143"/>
    <s v="Yes"/>
    <s v="Yes"/>
    <s v="High Risk"/>
    <n v="1.0419580419580419"/>
  </r>
  <r>
    <s v="P1504"/>
    <x v="504"/>
    <x v="16"/>
    <s v="Medium"/>
    <x v="0"/>
    <s v="F58"/>
    <x v="1"/>
    <n v="14"/>
    <n v="161"/>
    <s v="High BP"/>
    <n v="268"/>
    <s v="Yes"/>
    <s v="Diabetic Risk"/>
    <s v="LV Hypertrophy"/>
    <n v="154"/>
    <s v="Yes"/>
    <s v="Yes"/>
    <s v="Medium Risk"/>
    <n v="1.7402597402597402"/>
  </r>
  <r>
    <s v="P1505"/>
    <x v="505"/>
    <x v="50"/>
    <s v="High"/>
    <x v="1"/>
    <s v="M74"/>
    <x v="0"/>
    <n v="11"/>
    <n v="139"/>
    <s v="Pre-High BP"/>
    <n v="203"/>
    <s v="Yes"/>
    <s v="Diabetic Risk"/>
    <s v="LV Hypertrophy"/>
    <n v="189"/>
    <s v="Yes"/>
    <s v="No"/>
    <s v="No Risk"/>
    <n v="1.0740740740740742"/>
  </r>
  <r>
    <s v="P1506"/>
    <x v="506"/>
    <x v="47"/>
    <s v="Low"/>
    <x v="0"/>
    <s v="F33"/>
    <x v="1"/>
    <n v="14"/>
    <n v="181"/>
    <s v="High BP"/>
    <n v="317"/>
    <s v="Yes"/>
    <s v="Diabetic Risk"/>
    <s v="Normal"/>
    <n v="110"/>
    <s v="No"/>
    <s v="No"/>
    <s v="No Risk"/>
    <n v="2.8818181818181818"/>
  </r>
  <r>
    <s v="P1507"/>
    <x v="507"/>
    <x v="19"/>
    <s v="Low"/>
    <x v="0"/>
    <s v="F40"/>
    <x v="0"/>
    <n v="11"/>
    <n v="151"/>
    <s v="High BP"/>
    <n v="269"/>
    <s v="No"/>
    <s v="Normal"/>
    <s v="LV Hypertrophy"/>
    <n v="196"/>
    <s v="Yes"/>
    <s v="Yes"/>
    <s v="No Risk"/>
    <n v="1.3724489795918366"/>
  </r>
  <r>
    <s v="P1508"/>
    <x v="508"/>
    <x v="1"/>
    <s v="Low"/>
    <x v="1"/>
    <s v="M44"/>
    <x v="2"/>
    <n v="15"/>
    <n v="173"/>
    <s v="High BP"/>
    <n v="329"/>
    <s v="Yes"/>
    <s v="Diabetic Risk"/>
    <s v="ST-T Abnormality"/>
    <n v="188"/>
    <s v="No"/>
    <s v="Yes"/>
    <s v="No Risk"/>
    <n v="1.75"/>
  </r>
  <r>
    <s v="P1509"/>
    <x v="509"/>
    <x v="34"/>
    <s v="Medium"/>
    <x v="1"/>
    <s v="M54"/>
    <x v="0"/>
    <n v="11"/>
    <n v="151"/>
    <s v="High BP"/>
    <n v="319"/>
    <s v="No"/>
    <s v="Normal"/>
    <s v="LV Hypertrophy"/>
    <n v="102"/>
    <s v="No"/>
    <s v="No"/>
    <s v="No Risk"/>
    <n v="3.1274509803921569"/>
  </r>
  <r>
    <s v="P1510"/>
    <x v="510"/>
    <x v="34"/>
    <s v="Medium"/>
    <x v="1"/>
    <s v="M54"/>
    <x v="3"/>
    <n v="12"/>
    <n v="96"/>
    <s v="Normal"/>
    <n v="151"/>
    <s v="Yes"/>
    <s v="Diabetic Risk"/>
    <s v="Normal"/>
    <n v="146"/>
    <s v="No"/>
    <s v="Yes"/>
    <s v="Medium Risk"/>
    <n v="1.0342465753424657"/>
  </r>
  <r>
    <s v="P1511"/>
    <x v="511"/>
    <x v="43"/>
    <s v="High"/>
    <x v="0"/>
    <s v="F76"/>
    <x v="2"/>
    <n v="15"/>
    <n v="164"/>
    <s v="High BP"/>
    <n v="280"/>
    <s v="Yes"/>
    <s v="Diabetic Risk"/>
    <s v="Normal"/>
    <n v="138"/>
    <s v="Yes"/>
    <s v="No"/>
    <s v="No Risk"/>
    <n v="2.0289855072463769"/>
  </r>
  <r>
    <s v="P1512"/>
    <x v="512"/>
    <x v="5"/>
    <s v="Medium"/>
    <x v="1"/>
    <s v="M49"/>
    <x v="3"/>
    <n v="12"/>
    <n v="173"/>
    <s v="High BP"/>
    <n v="135"/>
    <s v="No"/>
    <s v="Normal"/>
    <s v="ST-T Abnormality"/>
    <n v="207"/>
    <s v="No"/>
    <s v="Yes"/>
    <s v="Medium Risk"/>
    <n v="0.65217391304347827"/>
  </r>
  <r>
    <s v="P1513"/>
    <x v="513"/>
    <x v="0"/>
    <s v="High"/>
    <x v="0"/>
    <s v="F67"/>
    <x v="1"/>
    <n v="14"/>
    <n v="169"/>
    <s v="High BP"/>
    <n v="323"/>
    <s v="Yes"/>
    <s v="Diabetic Risk"/>
    <s v="ST-T Abnormality"/>
    <n v="143"/>
    <s v="No"/>
    <s v="Yes"/>
    <s v="High Risk"/>
    <n v="2.2587412587412588"/>
  </r>
  <r>
    <s v="P1514"/>
    <x v="514"/>
    <x v="10"/>
    <s v="High"/>
    <x v="1"/>
    <s v="M64"/>
    <x v="1"/>
    <n v="14"/>
    <n v="93"/>
    <s v="Normal"/>
    <n v="157"/>
    <s v="Yes"/>
    <s v="Diabetic Risk"/>
    <s v="LV Hypertrophy"/>
    <n v="99"/>
    <s v="Yes"/>
    <s v="No"/>
    <s v="No Risk"/>
    <n v="1.5858585858585859"/>
  </r>
  <r>
    <s v="P1515"/>
    <x v="515"/>
    <x v="18"/>
    <s v="High"/>
    <x v="0"/>
    <s v="F61"/>
    <x v="1"/>
    <n v="14"/>
    <n v="95"/>
    <s v="Normal"/>
    <n v="345"/>
    <s v="Yes"/>
    <s v="Diabetic Risk"/>
    <s v="LV Hypertrophy"/>
    <n v="142"/>
    <s v="Yes"/>
    <s v="Yes"/>
    <s v="High Risk"/>
    <n v="2.4295774647887325"/>
  </r>
  <r>
    <s v="P1516"/>
    <x v="516"/>
    <x v="16"/>
    <s v="Medium"/>
    <x v="0"/>
    <s v="F58"/>
    <x v="0"/>
    <n v="11"/>
    <n v="147"/>
    <s v="High BP"/>
    <n v="261"/>
    <s v="Yes"/>
    <s v="Diabetic Risk"/>
    <s v="Normal"/>
    <n v="133"/>
    <s v="No"/>
    <s v="Yes"/>
    <s v="Medium Risk"/>
    <n v="1.9624060150375939"/>
  </r>
  <r>
    <s v="P1517"/>
    <x v="517"/>
    <x v="27"/>
    <s v="High"/>
    <x v="1"/>
    <s v="M65"/>
    <x v="2"/>
    <n v="15"/>
    <n v="111"/>
    <s v="Normal"/>
    <n v="155"/>
    <s v="No"/>
    <s v="Normal"/>
    <s v="ST-T Abnormality"/>
    <n v="136"/>
    <s v="No"/>
    <s v="Yes"/>
    <s v="High Risk"/>
    <n v="1.1397058823529411"/>
  </r>
  <r>
    <s v="P1518"/>
    <x v="518"/>
    <x v="7"/>
    <s v="Medium"/>
    <x v="0"/>
    <s v="F51"/>
    <x v="1"/>
    <n v="14"/>
    <n v="115"/>
    <s v="Normal"/>
    <n v="344"/>
    <s v="No"/>
    <s v="Normal"/>
    <s v="ST-T Abnormality"/>
    <n v="142"/>
    <s v="Yes"/>
    <s v="No"/>
    <s v="No Risk"/>
    <n v="2.4225352112676055"/>
  </r>
  <r>
    <s v="P1519"/>
    <x v="519"/>
    <x v="41"/>
    <s v="Low"/>
    <x v="0"/>
    <s v="F38"/>
    <x v="1"/>
    <n v="14"/>
    <n v="92"/>
    <s v="Normal"/>
    <n v="270"/>
    <s v="Yes"/>
    <s v="Diabetic Risk"/>
    <s v="ST-T Abnormality"/>
    <n v="163"/>
    <s v="Yes"/>
    <s v="Yes"/>
    <s v="No Risk"/>
    <n v="1.656441717791411"/>
  </r>
  <r>
    <s v="P1520"/>
    <x v="520"/>
    <x v="47"/>
    <s v="Low"/>
    <x v="1"/>
    <s v="M33"/>
    <x v="2"/>
    <n v="15"/>
    <n v="130"/>
    <s v="Pre-High BP"/>
    <n v="233"/>
    <s v="Yes"/>
    <s v="Diabetic Risk"/>
    <s v="LV Hypertrophy"/>
    <n v="135"/>
    <s v="Yes"/>
    <s v="Yes"/>
    <s v="No Risk"/>
    <n v="1.7259259259259259"/>
  </r>
  <r>
    <s v="P1521"/>
    <x v="521"/>
    <x v="10"/>
    <s v="High"/>
    <x v="0"/>
    <s v="F64"/>
    <x v="1"/>
    <n v="14"/>
    <n v="149"/>
    <s v="High BP"/>
    <n v="185"/>
    <s v="Yes"/>
    <s v="Diabetic Risk"/>
    <s v="ST-T Abnormality"/>
    <n v="102"/>
    <s v="No"/>
    <s v="Yes"/>
    <s v="High Risk"/>
    <n v="1.8137254901960784"/>
  </r>
  <r>
    <s v="P1522"/>
    <x v="522"/>
    <x v="40"/>
    <s v="High"/>
    <x v="1"/>
    <s v="M62"/>
    <x v="3"/>
    <n v="12"/>
    <n v="103"/>
    <s v="Normal"/>
    <n v="224"/>
    <s v="No"/>
    <s v="Normal"/>
    <s v="Normal"/>
    <n v="126"/>
    <s v="Yes"/>
    <s v="Yes"/>
    <s v="High Risk"/>
    <n v="1.7777777777777777"/>
  </r>
  <r>
    <s v="P1523"/>
    <x v="523"/>
    <x v="42"/>
    <s v="Medium"/>
    <x v="0"/>
    <s v="F59"/>
    <x v="2"/>
    <n v="15"/>
    <n v="164"/>
    <s v="High BP"/>
    <n v="204"/>
    <s v="No"/>
    <s v="Normal"/>
    <s v="Normal"/>
    <n v="191"/>
    <s v="Yes"/>
    <s v="Yes"/>
    <s v="Medium Risk"/>
    <n v="1.0680628272251309"/>
  </r>
  <r>
    <s v="P1524"/>
    <x v="524"/>
    <x v="41"/>
    <s v="Low"/>
    <x v="1"/>
    <s v="M38"/>
    <x v="2"/>
    <n v="15"/>
    <n v="171"/>
    <s v="High BP"/>
    <n v="121"/>
    <s v="No"/>
    <s v="Normal"/>
    <s v="LV Hypertrophy"/>
    <n v="113"/>
    <s v="Yes"/>
    <s v="Yes"/>
    <s v="No Risk"/>
    <n v="1.0707964601769913"/>
  </r>
  <r>
    <s v="P1525"/>
    <x v="525"/>
    <x v="6"/>
    <s v="Medium"/>
    <x v="1"/>
    <s v="M47"/>
    <x v="2"/>
    <n v="15"/>
    <n v="101"/>
    <s v="Normal"/>
    <n v="338"/>
    <s v="No"/>
    <s v="Normal"/>
    <s v="LV Hypertrophy"/>
    <n v="91"/>
    <s v="No"/>
    <s v="No"/>
    <s v="No Risk"/>
    <n v="3.7142857142857144"/>
  </r>
  <r>
    <s v="P1526"/>
    <x v="526"/>
    <x v="49"/>
    <s v="High"/>
    <x v="0"/>
    <s v="F60"/>
    <x v="3"/>
    <n v="12"/>
    <n v="176"/>
    <s v="High BP"/>
    <n v="320"/>
    <s v="Yes"/>
    <s v="Diabetic Risk"/>
    <s v="ST-T Abnormality"/>
    <n v="175"/>
    <s v="Yes"/>
    <s v="No"/>
    <s v="No Risk"/>
    <n v="1.8285714285714285"/>
  </r>
  <r>
    <s v="P1527"/>
    <x v="527"/>
    <x v="46"/>
    <e v="#N/A"/>
    <x v="0"/>
    <s v="F29"/>
    <x v="2"/>
    <n v="15"/>
    <n v="101"/>
    <s v="Normal"/>
    <n v="312"/>
    <s v="Yes"/>
    <s v="Diabetic Risk"/>
    <s v="LV Hypertrophy"/>
    <n v="170"/>
    <s v="Yes"/>
    <s v="Yes"/>
    <s v="No Risk"/>
    <n v="1.8352941176470587"/>
  </r>
  <r>
    <s v="P1528"/>
    <x v="528"/>
    <x v="47"/>
    <s v="Low"/>
    <x v="0"/>
    <s v="F33"/>
    <x v="3"/>
    <n v="12"/>
    <n v="102"/>
    <s v="Normal"/>
    <n v="194"/>
    <s v="Yes"/>
    <s v="Diabetic Risk"/>
    <s v="Normal"/>
    <n v="189"/>
    <s v="Yes"/>
    <s v="No"/>
    <s v="No Risk"/>
    <n v="1.0264550264550265"/>
  </r>
  <r>
    <s v="P1529"/>
    <x v="529"/>
    <x v="44"/>
    <s v="High"/>
    <x v="0"/>
    <s v="F73"/>
    <x v="2"/>
    <n v="15"/>
    <n v="114"/>
    <s v="Normal"/>
    <n v="186"/>
    <s v="No"/>
    <s v="Normal"/>
    <s v="ST-T Abnormality"/>
    <n v="103"/>
    <s v="Yes"/>
    <s v="No"/>
    <s v="No Risk"/>
    <n v="1.8058252427184467"/>
  </r>
  <r>
    <s v="P1530"/>
    <x v="530"/>
    <x v="31"/>
    <s v="Low"/>
    <x v="0"/>
    <s v="F32"/>
    <x v="0"/>
    <n v="11"/>
    <n v="134"/>
    <s v="Pre-High BP"/>
    <n v="299"/>
    <s v="Yes"/>
    <s v="Diabetic Risk"/>
    <s v="Normal"/>
    <n v="99"/>
    <s v="Yes"/>
    <s v="Yes"/>
    <s v="No Risk"/>
    <n v="3.0202020202020203"/>
  </r>
  <r>
    <s v="P1531"/>
    <x v="531"/>
    <x v="1"/>
    <s v="Low"/>
    <x v="1"/>
    <s v="M44"/>
    <x v="1"/>
    <n v="14"/>
    <n v="108"/>
    <s v="Normal"/>
    <n v="309"/>
    <s v="No"/>
    <s v="Normal"/>
    <s v="ST-T Abnormality"/>
    <n v="124"/>
    <s v="No"/>
    <s v="No"/>
    <s v="No Risk"/>
    <n v="2.4919354838709675"/>
  </r>
  <r>
    <s v="P1532"/>
    <x v="532"/>
    <x v="9"/>
    <s v="Medium"/>
    <x v="0"/>
    <s v="F52"/>
    <x v="0"/>
    <n v="11"/>
    <n v="144"/>
    <s v="High BP"/>
    <n v="270"/>
    <s v="No"/>
    <s v="Normal"/>
    <s v="LV Hypertrophy"/>
    <n v="114"/>
    <s v="No"/>
    <s v="No"/>
    <s v="No Risk"/>
    <n v="2.3684210526315788"/>
  </r>
  <r>
    <s v="P1533"/>
    <x v="533"/>
    <x v="1"/>
    <s v="Low"/>
    <x v="1"/>
    <s v="M44"/>
    <x v="1"/>
    <n v="14"/>
    <n v="189"/>
    <s v="High BP"/>
    <n v="273"/>
    <s v="Yes"/>
    <s v="Diabetic Risk"/>
    <s v="ST-T Abnormality"/>
    <n v="92"/>
    <s v="No"/>
    <s v="No"/>
    <s v="No Risk"/>
    <n v="2.9673913043478262"/>
  </r>
  <r>
    <s v="P1534"/>
    <x v="534"/>
    <x v="14"/>
    <s v="Low"/>
    <x v="1"/>
    <s v="M30"/>
    <x v="3"/>
    <n v="12"/>
    <n v="134"/>
    <s v="Pre-High BP"/>
    <n v="315"/>
    <s v="Yes"/>
    <s v="Diabetic Risk"/>
    <s v="ST-T Abnormality"/>
    <n v="200"/>
    <s v="Yes"/>
    <s v="No"/>
    <s v="No Risk"/>
    <n v="1.575"/>
  </r>
  <r>
    <s v="P1535"/>
    <x v="535"/>
    <x v="21"/>
    <s v="High"/>
    <x v="0"/>
    <s v="F77"/>
    <x v="0"/>
    <n v="11"/>
    <n v="97"/>
    <s v="Normal"/>
    <n v="329"/>
    <s v="Yes"/>
    <s v="Diabetic Risk"/>
    <s v="Normal"/>
    <n v="191"/>
    <s v="No"/>
    <s v="No"/>
    <s v="No Risk"/>
    <n v="1.7225130890052356"/>
  </r>
  <r>
    <s v="P1536"/>
    <x v="536"/>
    <x v="24"/>
    <s v="Medium"/>
    <x v="1"/>
    <s v="M56"/>
    <x v="2"/>
    <n v="15"/>
    <n v="182"/>
    <s v="High BP"/>
    <n v="174"/>
    <s v="No"/>
    <s v="Normal"/>
    <s v="Normal"/>
    <n v="106"/>
    <s v="No"/>
    <s v="No"/>
    <s v="No Risk"/>
    <n v="1.6415094339622642"/>
  </r>
  <r>
    <s v="P1537"/>
    <x v="537"/>
    <x v="49"/>
    <s v="High"/>
    <x v="1"/>
    <s v="M60"/>
    <x v="1"/>
    <n v="14"/>
    <n v="142"/>
    <s v="High BP"/>
    <n v="125"/>
    <s v="No"/>
    <s v="Normal"/>
    <s v="ST-T Abnormality"/>
    <n v="101"/>
    <s v="No"/>
    <s v="No"/>
    <s v="No Risk"/>
    <n v="1.2376237623762376"/>
  </r>
  <r>
    <s v="P1538"/>
    <x v="538"/>
    <x v="22"/>
    <s v="Medium"/>
    <x v="1"/>
    <s v="M55"/>
    <x v="1"/>
    <n v="14"/>
    <n v="144"/>
    <s v="High BP"/>
    <n v="282"/>
    <s v="Yes"/>
    <s v="Diabetic Risk"/>
    <s v="LV Hypertrophy"/>
    <n v="143"/>
    <s v="Yes"/>
    <s v="No"/>
    <s v="No Risk"/>
    <n v="1.9720279720279721"/>
  </r>
  <r>
    <s v="P1539"/>
    <x v="539"/>
    <x v="35"/>
    <s v="Medium"/>
    <x v="1"/>
    <s v="M48"/>
    <x v="0"/>
    <n v="11"/>
    <n v="121"/>
    <s v="Pre-High BP"/>
    <n v="269"/>
    <s v="Yes"/>
    <s v="Diabetic Risk"/>
    <s v="LV Hypertrophy"/>
    <n v="205"/>
    <s v="Yes"/>
    <s v="Yes"/>
    <s v="Medium Risk"/>
    <n v="1.3121951219512196"/>
  </r>
  <r>
    <s v="P1540"/>
    <x v="540"/>
    <x v="9"/>
    <s v="Medium"/>
    <x v="0"/>
    <s v="F52"/>
    <x v="3"/>
    <n v="12"/>
    <n v="140"/>
    <s v="High BP"/>
    <n v="290"/>
    <s v="No"/>
    <s v="Normal"/>
    <s v="Normal"/>
    <n v="113"/>
    <s v="No"/>
    <s v="Yes"/>
    <s v="Medium Risk"/>
    <n v="2.5663716814159292"/>
  </r>
  <r>
    <s v="P1541"/>
    <x v="541"/>
    <x v="19"/>
    <s v="Low"/>
    <x v="1"/>
    <s v="M40"/>
    <x v="0"/>
    <n v="11"/>
    <n v="133"/>
    <s v="Pre-High BP"/>
    <n v="262"/>
    <s v="Yes"/>
    <s v="Diabetic Risk"/>
    <s v="LV Hypertrophy"/>
    <n v="118"/>
    <s v="No"/>
    <s v="No"/>
    <s v="No Risk"/>
    <n v="2.2203389830508473"/>
  </r>
  <r>
    <s v="P1542"/>
    <x v="542"/>
    <x v="33"/>
    <s v="High"/>
    <x v="0"/>
    <s v="F78"/>
    <x v="3"/>
    <n v="12"/>
    <n v="171"/>
    <s v="High BP"/>
    <n v="205"/>
    <s v="No"/>
    <s v="Normal"/>
    <s v="Normal"/>
    <n v="132"/>
    <s v="Yes"/>
    <s v="No"/>
    <s v="No Risk"/>
    <n v="1.553030303030303"/>
  </r>
  <r>
    <s v="P1543"/>
    <x v="543"/>
    <x v="36"/>
    <s v="High"/>
    <x v="0"/>
    <s v="F63"/>
    <x v="3"/>
    <n v="12"/>
    <n v="159"/>
    <s v="High BP"/>
    <n v="179"/>
    <s v="No"/>
    <s v="Normal"/>
    <s v="LV Hypertrophy"/>
    <n v="114"/>
    <s v="Yes"/>
    <s v="Yes"/>
    <s v="High Risk"/>
    <n v="1.5701754385964912"/>
  </r>
  <r>
    <s v="P1544"/>
    <x v="544"/>
    <x v="18"/>
    <s v="High"/>
    <x v="1"/>
    <s v="M61"/>
    <x v="1"/>
    <n v="14"/>
    <n v="107"/>
    <s v="Normal"/>
    <n v="220"/>
    <s v="Yes"/>
    <s v="Diabetic Risk"/>
    <s v="ST-T Abnormality"/>
    <n v="189"/>
    <s v="No"/>
    <s v="No"/>
    <s v="No Risk"/>
    <n v="1.164021164021164"/>
  </r>
  <r>
    <s v="P1545"/>
    <x v="545"/>
    <x v="18"/>
    <s v="High"/>
    <x v="0"/>
    <s v="F61"/>
    <x v="0"/>
    <n v="11"/>
    <n v="172"/>
    <s v="High BP"/>
    <n v="131"/>
    <s v="Yes"/>
    <s v="Diabetic Risk"/>
    <s v="Normal"/>
    <n v="149"/>
    <s v="Yes"/>
    <s v="No"/>
    <s v="No Risk"/>
    <n v="0.87919463087248317"/>
  </r>
  <r>
    <s v="P1546"/>
    <x v="546"/>
    <x v="26"/>
    <s v="High"/>
    <x v="0"/>
    <s v="F79"/>
    <x v="0"/>
    <n v="11"/>
    <n v="111"/>
    <s v="Normal"/>
    <n v="168"/>
    <s v="Yes"/>
    <s v="Diabetic Risk"/>
    <s v="Normal"/>
    <n v="179"/>
    <s v="No"/>
    <s v="Yes"/>
    <s v="High Risk"/>
    <n v="0.93854748603351956"/>
  </r>
  <r>
    <s v="P1547"/>
    <x v="547"/>
    <x v="3"/>
    <s v="High"/>
    <x v="0"/>
    <s v="F71"/>
    <x v="3"/>
    <n v="12"/>
    <n v="126"/>
    <s v="Pre-High BP"/>
    <n v="161"/>
    <s v="Yes"/>
    <s v="Diabetic Risk"/>
    <s v="ST-T Abnormality"/>
    <n v="191"/>
    <s v="Yes"/>
    <s v="Yes"/>
    <s v="High Risk"/>
    <n v="0.84293193717277481"/>
  </r>
  <r>
    <s v="P1548"/>
    <x v="548"/>
    <x v="27"/>
    <s v="High"/>
    <x v="1"/>
    <s v="M65"/>
    <x v="0"/>
    <n v="11"/>
    <n v="185"/>
    <s v="High BP"/>
    <n v="285"/>
    <s v="No"/>
    <s v="Normal"/>
    <s v="Normal"/>
    <n v="154"/>
    <s v="No"/>
    <s v="Yes"/>
    <s v="High Risk"/>
    <n v="1.8506493506493507"/>
  </r>
  <r>
    <s v="P1549"/>
    <x v="549"/>
    <x v="19"/>
    <s v="Low"/>
    <x v="0"/>
    <s v="F40"/>
    <x v="2"/>
    <n v="15"/>
    <n v="145"/>
    <s v="High BP"/>
    <n v="201"/>
    <s v="No"/>
    <s v="Normal"/>
    <s v="LV Hypertrophy"/>
    <n v="173"/>
    <s v="No"/>
    <s v="No"/>
    <s v="No Risk"/>
    <n v="1.1618497109826589"/>
  </r>
  <r>
    <s v="P1550"/>
    <x v="550"/>
    <x v="12"/>
    <s v="Low"/>
    <x v="0"/>
    <s v="F31"/>
    <x v="2"/>
    <n v="15"/>
    <n v="148"/>
    <s v="High BP"/>
    <n v="292"/>
    <s v="No"/>
    <s v="Normal"/>
    <s v="LV Hypertrophy"/>
    <n v="208"/>
    <s v="Yes"/>
    <s v="No"/>
    <s v="No Risk"/>
    <n v="1.4038461538461537"/>
  </r>
  <r>
    <s v="P1551"/>
    <x v="551"/>
    <x v="46"/>
    <e v="#N/A"/>
    <x v="0"/>
    <s v="F29"/>
    <x v="0"/>
    <n v="11"/>
    <n v="92"/>
    <s v="Normal"/>
    <n v="154"/>
    <s v="Yes"/>
    <s v="Diabetic Risk"/>
    <s v="Normal"/>
    <n v="117"/>
    <s v="No"/>
    <s v="Yes"/>
    <s v="No Risk"/>
    <n v="1.3162393162393162"/>
  </r>
  <r>
    <s v="P1552"/>
    <x v="552"/>
    <x v="18"/>
    <s v="High"/>
    <x v="1"/>
    <s v="M61"/>
    <x v="0"/>
    <n v="11"/>
    <n v="117"/>
    <s v="Normal"/>
    <n v="277"/>
    <s v="No"/>
    <s v="Normal"/>
    <s v="LV Hypertrophy"/>
    <n v="105"/>
    <s v="No"/>
    <s v="Yes"/>
    <s v="High Risk"/>
    <n v="2.638095238095238"/>
  </r>
  <r>
    <s v="P1553"/>
    <x v="553"/>
    <x v="11"/>
    <s v="High"/>
    <x v="0"/>
    <s v="F68"/>
    <x v="3"/>
    <n v="12"/>
    <n v="163"/>
    <s v="High BP"/>
    <n v="335"/>
    <s v="Yes"/>
    <s v="Diabetic Risk"/>
    <s v="Normal"/>
    <n v="136"/>
    <s v="No"/>
    <s v="No"/>
    <s v="No Risk"/>
    <n v="2.4632352941176472"/>
  </r>
  <r>
    <s v="P1554"/>
    <x v="554"/>
    <x v="41"/>
    <s v="Low"/>
    <x v="1"/>
    <s v="M38"/>
    <x v="2"/>
    <n v="15"/>
    <n v="124"/>
    <s v="Pre-High BP"/>
    <n v="277"/>
    <s v="Yes"/>
    <s v="Diabetic Risk"/>
    <s v="ST-T Abnormality"/>
    <n v="170"/>
    <s v="Yes"/>
    <s v="Yes"/>
    <s v="No Risk"/>
    <n v="1.6294117647058823"/>
  </r>
  <r>
    <s v="P1555"/>
    <x v="555"/>
    <x v="3"/>
    <s v="High"/>
    <x v="1"/>
    <s v="M71"/>
    <x v="2"/>
    <n v="15"/>
    <n v="150"/>
    <s v="High BP"/>
    <n v="325"/>
    <s v="Yes"/>
    <s v="Diabetic Risk"/>
    <s v="Normal"/>
    <n v="193"/>
    <s v="Yes"/>
    <s v="No"/>
    <s v="No Risk"/>
    <n v="1.6839378238341969"/>
  </r>
  <r>
    <s v="P1556"/>
    <x v="556"/>
    <x v="15"/>
    <s v="High"/>
    <x v="1"/>
    <s v="M72"/>
    <x v="1"/>
    <n v="14"/>
    <n v="182"/>
    <s v="High BP"/>
    <n v="253"/>
    <s v="Yes"/>
    <s v="Diabetic Risk"/>
    <s v="ST-T Abnormality"/>
    <n v="181"/>
    <s v="Yes"/>
    <s v="No"/>
    <s v="No Risk"/>
    <n v="1.3977900552486189"/>
  </r>
  <r>
    <s v="P1557"/>
    <x v="557"/>
    <x v="39"/>
    <s v="Medium"/>
    <x v="1"/>
    <s v="M57"/>
    <x v="3"/>
    <n v="12"/>
    <n v="143"/>
    <s v="High BP"/>
    <n v="186"/>
    <s v="Yes"/>
    <s v="Diabetic Risk"/>
    <s v="LV Hypertrophy"/>
    <n v="147"/>
    <s v="No"/>
    <s v="Yes"/>
    <s v="Medium Risk"/>
    <n v="1.2653061224489797"/>
  </r>
  <r>
    <s v="P1558"/>
    <x v="558"/>
    <x v="48"/>
    <s v="Low"/>
    <x v="1"/>
    <s v="M41"/>
    <x v="1"/>
    <n v="14"/>
    <n v="152"/>
    <s v="High BP"/>
    <n v="199"/>
    <s v="Yes"/>
    <s v="Diabetic Risk"/>
    <s v="ST-T Abnormality"/>
    <n v="165"/>
    <s v="Yes"/>
    <s v="Yes"/>
    <s v="No Risk"/>
    <n v="1.2060606060606061"/>
  </r>
  <r>
    <s v="P1559"/>
    <x v="559"/>
    <x v="19"/>
    <s v="Low"/>
    <x v="1"/>
    <s v="M40"/>
    <x v="2"/>
    <n v="15"/>
    <n v="168"/>
    <s v="High BP"/>
    <n v="126"/>
    <s v="No"/>
    <s v="Normal"/>
    <s v="LV Hypertrophy"/>
    <n v="116"/>
    <s v="No"/>
    <s v="No"/>
    <s v="No Risk"/>
    <n v="1.0862068965517242"/>
  </r>
  <r>
    <s v="P1560"/>
    <x v="560"/>
    <x v="42"/>
    <s v="Medium"/>
    <x v="0"/>
    <s v="F59"/>
    <x v="3"/>
    <n v="12"/>
    <n v="186"/>
    <s v="High BP"/>
    <n v="299"/>
    <s v="Yes"/>
    <s v="Diabetic Risk"/>
    <s v="Normal"/>
    <n v="207"/>
    <s v="No"/>
    <s v="Yes"/>
    <s v="Medium Risk"/>
    <n v="1.4444444444444444"/>
  </r>
  <r>
    <s v="P1561"/>
    <x v="561"/>
    <x v="50"/>
    <s v="High"/>
    <x v="1"/>
    <s v="M74"/>
    <x v="0"/>
    <n v="11"/>
    <n v="96"/>
    <s v="Normal"/>
    <n v="133"/>
    <s v="No"/>
    <s v="Normal"/>
    <s v="LV Hypertrophy"/>
    <n v="142"/>
    <s v="Yes"/>
    <s v="Yes"/>
    <s v="High Risk"/>
    <n v="0.93661971830985913"/>
  </r>
  <r>
    <s v="P1562"/>
    <x v="562"/>
    <x v="14"/>
    <s v="Low"/>
    <x v="0"/>
    <s v="F30"/>
    <x v="3"/>
    <n v="12"/>
    <n v="165"/>
    <s v="High BP"/>
    <n v="192"/>
    <s v="No"/>
    <s v="Normal"/>
    <s v="Normal"/>
    <n v="131"/>
    <s v="Yes"/>
    <s v="Yes"/>
    <s v="No Risk"/>
    <n v="1.4656488549618321"/>
  </r>
  <r>
    <s v="P1563"/>
    <x v="563"/>
    <x v="26"/>
    <s v="High"/>
    <x v="0"/>
    <s v="F79"/>
    <x v="0"/>
    <n v="11"/>
    <n v="138"/>
    <s v="Pre-High BP"/>
    <n v="262"/>
    <s v="Yes"/>
    <s v="Diabetic Risk"/>
    <s v="Normal"/>
    <n v="148"/>
    <s v="No"/>
    <s v="Yes"/>
    <s v="High Risk"/>
    <n v="1.7702702702702702"/>
  </r>
  <r>
    <s v="P1564"/>
    <x v="564"/>
    <x v="33"/>
    <s v="High"/>
    <x v="1"/>
    <s v="M78"/>
    <x v="0"/>
    <n v="11"/>
    <n v="183"/>
    <s v="High BP"/>
    <n v="268"/>
    <s v="Yes"/>
    <s v="Diabetic Risk"/>
    <s v="ST-T Abnormality"/>
    <n v="136"/>
    <s v="No"/>
    <s v="No"/>
    <s v="No Risk"/>
    <n v="1.9705882352941178"/>
  </r>
  <r>
    <s v="P1565"/>
    <x v="565"/>
    <x v="36"/>
    <s v="High"/>
    <x v="0"/>
    <s v="F63"/>
    <x v="3"/>
    <n v="12"/>
    <n v="174"/>
    <s v="High BP"/>
    <n v="282"/>
    <s v="Yes"/>
    <s v="Diabetic Risk"/>
    <s v="ST-T Abnormality"/>
    <n v="183"/>
    <s v="Yes"/>
    <s v="No"/>
    <s v="No Risk"/>
    <n v="1.540983606557377"/>
  </r>
  <r>
    <s v="P1566"/>
    <x v="566"/>
    <x v="7"/>
    <s v="Medium"/>
    <x v="0"/>
    <s v="F51"/>
    <x v="0"/>
    <n v="11"/>
    <n v="120"/>
    <s v="Normal"/>
    <n v="185"/>
    <s v="No"/>
    <s v="Normal"/>
    <s v="ST-T Abnormality"/>
    <n v="194"/>
    <s v="Yes"/>
    <s v="No"/>
    <s v="No Risk"/>
    <n v="0.95360824742268047"/>
  </r>
  <r>
    <s v="P1567"/>
    <x v="567"/>
    <x v="37"/>
    <s v="Medium"/>
    <x v="0"/>
    <s v="F45"/>
    <x v="1"/>
    <n v="14"/>
    <n v="147"/>
    <s v="High BP"/>
    <n v="210"/>
    <s v="Yes"/>
    <s v="Diabetic Risk"/>
    <s v="ST-T Abnormality"/>
    <n v="123"/>
    <s v="Yes"/>
    <s v="No"/>
    <s v="No Risk"/>
    <n v="1.7073170731707317"/>
  </r>
  <r>
    <s v="P1568"/>
    <x v="568"/>
    <x v="34"/>
    <s v="Medium"/>
    <x v="0"/>
    <s v="F54"/>
    <x v="2"/>
    <n v="15"/>
    <n v="150"/>
    <s v="High BP"/>
    <n v="249"/>
    <s v="No"/>
    <s v="Normal"/>
    <s v="LV Hypertrophy"/>
    <n v="126"/>
    <s v="No"/>
    <s v="Yes"/>
    <s v="Medium Risk"/>
    <n v="1.9761904761904763"/>
  </r>
  <r>
    <s v="P1569"/>
    <x v="569"/>
    <x v="4"/>
    <s v="Low"/>
    <x v="1"/>
    <s v="M36"/>
    <x v="0"/>
    <n v="11"/>
    <n v="113"/>
    <s v="Normal"/>
    <n v="282"/>
    <s v="Yes"/>
    <s v="Diabetic Risk"/>
    <s v="LV Hypertrophy"/>
    <n v="95"/>
    <s v="No"/>
    <s v="Yes"/>
    <s v="No Risk"/>
    <n v="2.9684210526315788"/>
  </r>
  <r>
    <s v="P1570"/>
    <x v="570"/>
    <x v="39"/>
    <s v="Medium"/>
    <x v="0"/>
    <s v="F57"/>
    <x v="1"/>
    <n v="14"/>
    <n v="109"/>
    <s v="Normal"/>
    <n v="329"/>
    <s v="Yes"/>
    <s v="Diabetic Risk"/>
    <s v="LV Hypertrophy"/>
    <n v="96"/>
    <s v="No"/>
    <s v="No"/>
    <s v="No Risk"/>
    <n v="3.4270833333333335"/>
  </r>
  <r>
    <s v="P1571"/>
    <x v="571"/>
    <x v="34"/>
    <s v="Medium"/>
    <x v="1"/>
    <s v="M54"/>
    <x v="0"/>
    <n v="11"/>
    <n v="126"/>
    <s v="Pre-High BP"/>
    <n v="325"/>
    <s v="No"/>
    <s v="Normal"/>
    <s v="Normal"/>
    <n v="185"/>
    <s v="No"/>
    <s v="No"/>
    <s v="No Risk"/>
    <n v="1.7567567567567568"/>
  </r>
  <r>
    <s v="P1572"/>
    <x v="572"/>
    <x v="41"/>
    <s v="Low"/>
    <x v="0"/>
    <s v="F38"/>
    <x v="2"/>
    <n v="15"/>
    <n v="93"/>
    <s v="Normal"/>
    <n v="139"/>
    <s v="No"/>
    <s v="Normal"/>
    <s v="LV Hypertrophy"/>
    <n v="185"/>
    <s v="No"/>
    <s v="Yes"/>
    <s v="No Risk"/>
    <n v="0.75135135135135134"/>
  </r>
  <r>
    <s v="P1573"/>
    <x v="573"/>
    <x v="34"/>
    <s v="Medium"/>
    <x v="0"/>
    <s v="F54"/>
    <x v="1"/>
    <n v="14"/>
    <n v="181"/>
    <s v="High BP"/>
    <n v="329"/>
    <s v="Yes"/>
    <s v="Diabetic Risk"/>
    <s v="LV Hypertrophy"/>
    <n v="206"/>
    <s v="Yes"/>
    <s v="No"/>
    <s v="No Risk"/>
    <n v="1.5970873786407767"/>
  </r>
  <r>
    <s v="P1574"/>
    <x v="574"/>
    <x v="40"/>
    <s v="High"/>
    <x v="1"/>
    <s v="M62"/>
    <x v="2"/>
    <n v="15"/>
    <n v="109"/>
    <s v="Normal"/>
    <n v="129"/>
    <s v="No"/>
    <s v="Normal"/>
    <s v="LV Hypertrophy"/>
    <n v="114"/>
    <s v="Yes"/>
    <s v="No"/>
    <s v="No Risk"/>
    <n v="1.131578947368421"/>
  </r>
  <r>
    <s v="P1575"/>
    <x v="575"/>
    <x v="26"/>
    <s v="High"/>
    <x v="0"/>
    <s v="F79"/>
    <x v="2"/>
    <n v="15"/>
    <n v="149"/>
    <s v="High BP"/>
    <n v="144"/>
    <s v="No"/>
    <s v="Normal"/>
    <s v="ST-T Abnormality"/>
    <n v="122"/>
    <s v="No"/>
    <s v="Yes"/>
    <s v="High Risk"/>
    <n v="1.180327868852459"/>
  </r>
  <r>
    <s v="P1576"/>
    <x v="576"/>
    <x v="45"/>
    <s v="High"/>
    <x v="0"/>
    <s v="F69"/>
    <x v="1"/>
    <n v="14"/>
    <n v="113"/>
    <s v="Normal"/>
    <n v="313"/>
    <s v="No"/>
    <s v="Normal"/>
    <s v="LV Hypertrophy"/>
    <n v="144"/>
    <s v="No"/>
    <s v="No"/>
    <s v="No Risk"/>
    <n v="2.1736111111111112"/>
  </r>
  <r>
    <s v="P1577"/>
    <x v="577"/>
    <x v="28"/>
    <s v="Low"/>
    <x v="0"/>
    <s v="F35"/>
    <x v="1"/>
    <n v="14"/>
    <n v="139"/>
    <s v="Pre-High BP"/>
    <n v="144"/>
    <s v="No"/>
    <s v="Normal"/>
    <s v="Normal"/>
    <n v="147"/>
    <s v="Yes"/>
    <s v="Yes"/>
    <s v="No Risk"/>
    <n v="0.97959183673469385"/>
  </r>
  <r>
    <s v="P1578"/>
    <x v="578"/>
    <x v="31"/>
    <s v="Low"/>
    <x v="1"/>
    <s v="M32"/>
    <x v="1"/>
    <n v="14"/>
    <n v="138"/>
    <s v="Pre-High BP"/>
    <n v="173"/>
    <s v="No"/>
    <s v="Normal"/>
    <s v="ST-T Abnormality"/>
    <n v="96"/>
    <s v="Yes"/>
    <s v="Yes"/>
    <s v="No Risk"/>
    <n v="1.8020833333333333"/>
  </r>
  <r>
    <s v="P1579"/>
    <x v="579"/>
    <x v="33"/>
    <s v="High"/>
    <x v="0"/>
    <s v="F78"/>
    <x v="3"/>
    <n v="12"/>
    <n v="140"/>
    <s v="High BP"/>
    <n v="152"/>
    <s v="Yes"/>
    <s v="Diabetic Risk"/>
    <s v="Normal"/>
    <n v="205"/>
    <s v="Yes"/>
    <s v="No"/>
    <s v="No Risk"/>
    <n v="0.74146341463414633"/>
  </r>
  <r>
    <s v="P1580"/>
    <x v="580"/>
    <x v="44"/>
    <s v="High"/>
    <x v="1"/>
    <s v="M73"/>
    <x v="1"/>
    <n v="14"/>
    <n v="185"/>
    <s v="High BP"/>
    <n v="283"/>
    <s v="Yes"/>
    <s v="Diabetic Risk"/>
    <s v="LV Hypertrophy"/>
    <n v="146"/>
    <s v="Yes"/>
    <s v="Yes"/>
    <s v="High Risk"/>
    <n v="1.9383561643835616"/>
  </r>
  <r>
    <s v="P1581"/>
    <x v="581"/>
    <x v="8"/>
    <s v="Low"/>
    <x v="0"/>
    <s v="F39"/>
    <x v="1"/>
    <n v="14"/>
    <n v="125"/>
    <s v="Pre-High BP"/>
    <n v="214"/>
    <s v="No"/>
    <s v="Normal"/>
    <s v="ST-T Abnormality"/>
    <n v="101"/>
    <s v="No"/>
    <s v="No"/>
    <s v="No Risk"/>
    <n v="2.1188118811881189"/>
  </r>
  <r>
    <s v="P1582"/>
    <x v="582"/>
    <x v="39"/>
    <s v="Medium"/>
    <x v="1"/>
    <s v="M57"/>
    <x v="1"/>
    <n v="14"/>
    <n v="187"/>
    <s v="High BP"/>
    <n v="133"/>
    <s v="Yes"/>
    <s v="Diabetic Risk"/>
    <s v="Normal"/>
    <n v="105"/>
    <s v="Yes"/>
    <s v="Yes"/>
    <s v="Medium Risk"/>
    <n v="1.2666666666666666"/>
  </r>
  <r>
    <s v="P1583"/>
    <x v="583"/>
    <x v="10"/>
    <s v="High"/>
    <x v="1"/>
    <s v="M64"/>
    <x v="1"/>
    <n v="14"/>
    <n v="189"/>
    <s v="High BP"/>
    <n v="184"/>
    <s v="Yes"/>
    <s v="Diabetic Risk"/>
    <s v="LV Hypertrophy"/>
    <n v="169"/>
    <s v="No"/>
    <s v="No"/>
    <s v="No Risk"/>
    <n v="1.0887573964497042"/>
  </r>
  <r>
    <s v="P1584"/>
    <x v="584"/>
    <x v="20"/>
    <s v="Medium"/>
    <x v="0"/>
    <s v="F53"/>
    <x v="0"/>
    <n v="11"/>
    <n v="155"/>
    <s v="High BP"/>
    <n v="229"/>
    <s v="No"/>
    <s v="Normal"/>
    <s v="Normal"/>
    <n v="132"/>
    <s v="Yes"/>
    <s v="No"/>
    <s v="No Risk"/>
    <n v="1.7348484848484849"/>
  </r>
  <r>
    <s v="P1585"/>
    <x v="585"/>
    <x v="5"/>
    <s v="Medium"/>
    <x v="0"/>
    <s v="F49"/>
    <x v="3"/>
    <n v="12"/>
    <n v="168"/>
    <s v="High BP"/>
    <n v="199"/>
    <s v="Yes"/>
    <s v="Diabetic Risk"/>
    <s v="Normal"/>
    <n v="206"/>
    <s v="Yes"/>
    <s v="No"/>
    <s v="No Risk"/>
    <n v="0.96601941747572817"/>
  </r>
  <r>
    <s v="P1586"/>
    <x v="586"/>
    <x v="10"/>
    <s v="High"/>
    <x v="1"/>
    <s v="M64"/>
    <x v="2"/>
    <n v="15"/>
    <n v="123"/>
    <s v="Pre-High BP"/>
    <n v="173"/>
    <s v="No"/>
    <s v="Normal"/>
    <s v="Normal"/>
    <n v="189"/>
    <s v="Yes"/>
    <s v="Yes"/>
    <s v="High Risk"/>
    <n v="0.91534391534391535"/>
  </r>
  <r>
    <s v="P1587"/>
    <x v="587"/>
    <x v="41"/>
    <s v="Low"/>
    <x v="1"/>
    <s v="M38"/>
    <x v="1"/>
    <n v="14"/>
    <n v="125"/>
    <s v="Pre-High BP"/>
    <n v="244"/>
    <s v="No"/>
    <s v="Normal"/>
    <s v="LV Hypertrophy"/>
    <n v="166"/>
    <s v="No"/>
    <s v="Yes"/>
    <s v="No Risk"/>
    <n v="1.4698795180722892"/>
  </r>
  <r>
    <s v="P1588"/>
    <x v="588"/>
    <x v="27"/>
    <s v="High"/>
    <x v="0"/>
    <s v="F65"/>
    <x v="0"/>
    <n v="11"/>
    <n v="95"/>
    <s v="Normal"/>
    <n v="299"/>
    <s v="Yes"/>
    <s v="Diabetic Risk"/>
    <s v="LV Hypertrophy"/>
    <n v="96"/>
    <s v="No"/>
    <s v="No"/>
    <s v="No Risk"/>
    <n v="3.1145833333333335"/>
  </r>
  <r>
    <s v="P1589"/>
    <x v="589"/>
    <x v="29"/>
    <s v="Low"/>
    <x v="1"/>
    <s v="M37"/>
    <x v="0"/>
    <n v="11"/>
    <n v="128"/>
    <s v="Pre-High BP"/>
    <n v="250"/>
    <s v="No"/>
    <s v="Normal"/>
    <s v="Normal"/>
    <n v="189"/>
    <s v="Yes"/>
    <s v="Yes"/>
    <s v="No Risk"/>
    <n v="1.3227513227513228"/>
  </r>
  <r>
    <s v="P1590"/>
    <x v="590"/>
    <x v="9"/>
    <s v="Medium"/>
    <x v="0"/>
    <s v="F52"/>
    <x v="0"/>
    <n v="11"/>
    <n v="131"/>
    <s v="Pre-High BP"/>
    <n v="346"/>
    <s v="No"/>
    <s v="Normal"/>
    <s v="ST-T Abnormality"/>
    <n v="200"/>
    <s v="No"/>
    <s v="No"/>
    <s v="No Risk"/>
    <n v="1.73"/>
  </r>
  <r>
    <s v="P1591"/>
    <x v="591"/>
    <x v="36"/>
    <s v="High"/>
    <x v="0"/>
    <s v="F63"/>
    <x v="2"/>
    <n v="15"/>
    <n v="147"/>
    <s v="High BP"/>
    <n v="288"/>
    <s v="No"/>
    <s v="Normal"/>
    <s v="ST-T Abnormality"/>
    <n v="140"/>
    <s v="No"/>
    <s v="No"/>
    <s v="No Risk"/>
    <n v="2.0571428571428569"/>
  </r>
  <r>
    <s v="P1592"/>
    <x v="592"/>
    <x v="21"/>
    <s v="High"/>
    <x v="0"/>
    <s v="F77"/>
    <x v="1"/>
    <n v="14"/>
    <n v="101"/>
    <s v="Normal"/>
    <n v="253"/>
    <s v="No"/>
    <s v="Normal"/>
    <s v="LV Hypertrophy"/>
    <n v="162"/>
    <s v="Yes"/>
    <s v="Yes"/>
    <s v="High Risk"/>
    <n v="1.5617283950617284"/>
  </r>
  <r>
    <s v="P1593"/>
    <x v="593"/>
    <x v="36"/>
    <s v="High"/>
    <x v="0"/>
    <s v="F63"/>
    <x v="3"/>
    <n v="12"/>
    <n v="92"/>
    <s v="Normal"/>
    <n v="144"/>
    <s v="No"/>
    <s v="Normal"/>
    <s v="LV Hypertrophy"/>
    <n v="121"/>
    <s v="Yes"/>
    <s v="No"/>
    <s v="No Risk"/>
    <n v="1.1900826446280992"/>
  </r>
  <r>
    <s v="P1594"/>
    <x v="594"/>
    <x v="43"/>
    <s v="High"/>
    <x v="1"/>
    <s v="M76"/>
    <x v="3"/>
    <n v="12"/>
    <n v="107"/>
    <s v="Normal"/>
    <n v="260"/>
    <s v="Yes"/>
    <s v="Diabetic Risk"/>
    <s v="LV Hypertrophy"/>
    <n v="164"/>
    <s v="No"/>
    <s v="Yes"/>
    <s v="High Risk"/>
    <n v="1.5853658536585367"/>
  </r>
  <r>
    <s v="P1595"/>
    <x v="595"/>
    <x v="10"/>
    <s v="High"/>
    <x v="0"/>
    <s v="F64"/>
    <x v="0"/>
    <n v="11"/>
    <n v="129"/>
    <s v="Pre-High BP"/>
    <n v="236"/>
    <s v="Yes"/>
    <s v="Diabetic Risk"/>
    <s v="LV Hypertrophy"/>
    <n v="97"/>
    <s v="No"/>
    <s v="No"/>
    <s v="No Risk"/>
    <n v="2.4329896907216493"/>
  </r>
  <r>
    <s v="P1596"/>
    <x v="596"/>
    <x v="30"/>
    <s v="Medium"/>
    <x v="1"/>
    <s v="M46"/>
    <x v="2"/>
    <n v="15"/>
    <n v="110"/>
    <s v="Normal"/>
    <n v="345"/>
    <s v="No"/>
    <s v="Normal"/>
    <s v="LV Hypertrophy"/>
    <n v="186"/>
    <s v="No"/>
    <s v="Yes"/>
    <s v="Medium Risk"/>
    <n v="1.8548387096774193"/>
  </r>
  <r>
    <s v="P1597"/>
    <x v="597"/>
    <x v="21"/>
    <s v="High"/>
    <x v="0"/>
    <s v="F77"/>
    <x v="2"/>
    <n v="15"/>
    <n v="104"/>
    <s v="Normal"/>
    <n v="255"/>
    <s v="No"/>
    <s v="Normal"/>
    <s v="ST-T Abnormality"/>
    <n v="176"/>
    <s v="Yes"/>
    <s v="No"/>
    <s v="No Risk"/>
    <n v="1.4488636363636365"/>
  </r>
  <r>
    <s v="P1598"/>
    <x v="598"/>
    <x v="0"/>
    <s v="High"/>
    <x v="1"/>
    <s v="M67"/>
    <x v="2"/>
    <n v="15"/>
    <n v="186"/>
    <s v="High BP"/>
    <n v="268"/>
    <s v="Yes"/>
    <s v="Diabetic Risk"/>
    <s v="LV Hypertrophy"/>
    <n v="178"/>
    <s v="Yes"/>
    <s v="No"/>
    <s v="No Risk"/>
    <n v="1.5056179775280898"/>
  </r>
  <r>
    <s v="P1599"/>
    <x v="599"/>
    <x v="49"/>
    <s v="High"/>
    <x v="0"/>
    <s v="F60"/>
    <x v="3"/>
    <n v="12"/>
    <n v="188"/>
    <s v="High BP"/>
    <n v="345"/>
    <s v="No"/>
    <s v="Normal"/>
    <s v="Normal"/>
    <n v="209"/>
    <s v="No"/>
    <s v="Yes"/>
    <s v="High Risk"/>
    <n v="1.65071770334928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E77F6-EC0A-45CF-9360-9FEC8A50AA6B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est Pain">
  <location ref="B44:C46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"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6"/>
  </rowFields>
  <rowItems count="2">
    <i>
      <x v="2"/>
    </i>
    <i t="grand">
      <x/>
    </i>
  </rowItems>
  <colItems count="1">
    <i/>
  </colItems>
  <dataFields count="1">
    <dataField name="Heart_Diseases" fld="16" subtotal="count" baseField="0" baseItem="0"/>
  </dataFields>
  <formats count="6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6" type="button" dataOnly="0" labelOnly="1" outline="0" axis="axisRow" fieldPosition="0"/>
    </format>
    <format dxfId="17">
      <pivotArea dataOnly="0" labelOnly="1" fieldPosition="0">
        <references count="1">
          <reference field="6" count="1">
            <x v="2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CCA86-2359-42E5-8779-A715E2B83285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tients">
  <location ref="B34:C40" firstHeaderRow="1" firstDataRow="1" firstDataCol="1"/>
  <pivotFields count="19">
    <pivotField showAll="0"/>
    <pivotField axis="axisRow" showAll="0" measureFilter="1" sortType="descending">
      <items count="6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444"/>
    </i>
    <i>
      <x v="30"/>
    </i>
    <i>
      <x v="422"/>
    </i>
    <i>
      <x v="69"/>
    </i>
    <i>
      <x v="95"/>
    </i>
    <i t="grand">
      <x/>
    </i>
  </rowItems>
  <colItems count="1">
    <i/>
  </colItems>
  <dataFields count="1">
    <dataField name="Cholesteroll" fld="10" baseField="0" baseItem="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5">
            <x v="30"/>
            <x v="69"/>
            <x v="95"/>
            <x v="422"/>
            <x v="444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3DF0E-4EC2-4348-BC93-0EDCA6A24F35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">
  <location ref="B24:C29" firstHeaderRow="1" firstDataRow="1" firstDataCol="1"/>
  <pivotFields count="19"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% of Heart Disease" fld="16" subtotal="count" showDataAs="percentOfTotal" baseField="2" baseItem="1048828" numFmtId="10"/>
  </dataFields>
  <formats count="7">
    <format dxfId="33">
      <pivotArea collapsedLevelsAreSubtotals="1" fieldPosition="0">
        <references count="1">
          <reference field="2" count="0"/>
        </references>
      </pivotArea>
    </format>
    <format dxfId="32">
      <pivotArea type="all" dataOnly="0" outline="0" fieldPosition="0"/>
    </format>
    <format dxfId="31">
      <pivotArea outline="0" collapsedLevelsAreSubtotals="1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59836-5F76-4805-839B-AC7A26FF62AB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est Pain Type">
  <location ref="B13:C18" firstHeaderRow="1" firstDataRow="1" firstDataCol="1"/>
  <pivotFields count="19"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g  Cholesterol" fld="10" subtotal="average" baseField="6" baseItem="0"/>
  </dataFields>
  <formats count="6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6" type="button" dataOnly="0" labelOnly="1" outline="0" axis="axisRow" fieldPosition="0"/>
    </format>
    <format dxfId="36">
      <pivotArea dataOnly="0" labelOnly="1" fieldPosition="0">
        <references count="1">
          <reference field="6" count="0"/>
        </references>
      </pivotArea>
    </format>
    <format dxfId="35">
      <pivotArea dataOnly="0" labelOnly="1" grandRow="1" outline="0" fieldPosition="0"/>
    </format>
    <format dxfId="3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0D0F3-CED1-4D6F-8DF8-BE8C0C6CCEBE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>
  <location ref="B5:C8" firstHeaderRow="1" firstDataRow="1" firstDataCol="1"/>
  <pivotFields count="19"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Heart_Diseases" fld="16" subtotal="count" baseField="0" baseItem="0"/>
  </dataFields>
  <formats count="6"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4" type="button" dataOnly="0" labelOnly="1" outline="0" axis="axisRow" fieldPosition="0"/>
    </format>
    <format dxfId="42">
      <pivotArea dataOnly="0" labelOnly="1" fieldPosition="0">
        <references count="1">
          <reference field="4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BBB6F9-D71D-4126-97D0-F78161445FA3}" name="Table1" displayName="Table1" ref="A1:S604" totalsRowShown="0" headerRowDxfId="68" headerRowBorderDxfId="66" tableBorderDxfId="67" totalsRowBorderDxfId="65">
  <autoFilter ref="A1:S604" xr:uid="{A5BBB6F9-D71D-4126-97D0-F78161445FA3}"/>
  <tableColumns count="19">
    <tableColumn id="1" xr3:uid="{1B6656EF-7093-4DFF-A8F0-139030173DE2}" name="Patient_ID" dataDxfId="64"/>
    <tableColumn id="17" xr3:uid="{BBEE1506-F951-4791-9DE9-E63367AB7364}" name="Patient_Ids" dataDxfId="49">
      <calculatedColumnFormula>RIGHT(Table1[[#This Row],[Patient_ID]],4)</calculatedColumnFormula>
    </tableColumn>
    <tableColumn id="2" xr3:uid="{7A81AD6B-C49E-4AB0-BAB7-65E6FD9B7D8F}" name="Age" dataDxfId="63"/>
    <tableColumn id="20" xr3:uid="{080E7BC5-5E13-46F2-BD9D-D9CAEA79306C}" name="Age_Risk_Category" dataDxfId="46">
      <calculatedColumnFormula>VLOOKUP(Table1[[#This Row],[Age]],'Lookup &amp; Reference'!$G$2:$H$5,2,1)</calculatedColumnFormula>
    </tableColumn>
    <tableColumn id="3" xr3:uid="{17CC38E8-A2BE-4A1E-A717-581AC1462670}" name="Gender" dataDxfId="62"/>
    <tableColumn id="18" xr3:uid="{AC69B458-1343-4F0E-A45E-778C2CB01698}" name="Patient_Code" dataDxfId="48">
      <calculatedColumnFormula>_xlfn.CONCAT(LEFT(Table1[[#This Row],[Gender]],1),Table1[[#This Row],[Age]])</calculatedColumnFormula>
    </tableColumn>
    <tableColumn id="4" xr3:uid="{C49C263C-2AA6-4073-808C-2C66FB22043E}" name="Chest_Pain_Type" dataDxfId="61"/>
    <tableColumn id="19" xr3:uid="{0CB66EA7-623F-489B-AD31-99A2DF54D612}" name="Length_Chest_Pain" dataDxfId="47">
      <calculatedColumnFormula>LEN(Table1[[#This Row],[Chest_Pain_Type]])</calculatedColumnFormula>
    </tableColumn>
    <tableColumn id="5" xr3:uid="{F3F77905-ABB6-4B75-90E9-98DB5BF8CF6E}" name="Resting_BP" dataDxfId="60"/>
    <tableColumn id="12" xr3:uid="{8C9E83D9-EFEE-44F6-A1BE-959B5B663B9B}" name="BP_Status" dataDxfId="59">
      <calculatedColumnFormula array="1">_xlfn.IFS(OR(Table1[[#This Row],[Resting_BP]]&gt;140,Table1[[#This Row],[Resting_BP]]=140),"High BP",OR(Table1[[#This Row],[Resting_BP]]&gt;120,Table1[[#This Row],[Resting_BP]]=139),"Pre-High BP",Table1[[#This Row],[Resting_BP]],"Normal")</calculatedColumnFormula>
    </tableColumn>
    <tableColumn id="6" xr3:uid="{AAF419EC-E83A-4146-B962-24EA7D7913B7}" name="Cholesterol" dataDxfId="58"/>
    <tableColumn id="7" xr3:uid="{2D189FBA-706A-4E2E-B53A-0E44549B2D86}" name="Fasting_Blood_Sugar" dataDxfId="57"/>
    <tableColumn id="15" xr3:uid="{71658550-B796-4844-8E27-5E0BD735D711}" name="Sugar_Risk_Level" dataDxfId="51">
      <calculatedColumnFormula>IF(Table1[[#This Row],[Fasting_Blood_Sugar]]="Yes","Diabetic Risk","Normal")</calculatedColumnFormula>
    </tableColumn>
    <tableColumn id="8" xr3:uid="{E01BA948-9472-487A-A1BE-D6D5947D5A5D}" name="Resting_ECG" dataDxfId="56"/>
    <tableColumn id="9" xr3:uid="{8FEBA5CD-967F-45CB-A0EF-FF48EBAB4DE7}" name="Max_Heart_Rate" dataDxfId="55"/>
    <tableColumn id="10" xr3:uid="{586F82F9-6B90-43F2-8FB7-10F9EC70B028}" name="Exercise_Induced_Angina" dataDxfId="54"/>
    <tableColumn id="11" xr3:uid="{EFFA7C53-68F6-4E3C-AB87-E400F82D32ED}" name="Heart_Disease" dataDxfId="53"/>
    <tableColumn id="14" xr3:uid="{FE0610C4-BEB1-4128-BC28-81D4FED615DA}" name="Risk_Level" dataDxfId="52">
      <calculatedColumnFormula array="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calculatedColumnFormula>
    </tableColumn>
    <tableColumn id="16" xr3:uid="{9FF18B48-3838-496A-8F85-242559382058}" name="Risk_Score" dataDxfId="50">
      <calculatedColumnFormula>IFERROR(Table1[[#This Row],[Cholesterol]]/Table1[[#This Row],[Max_Heart_Rate]],"")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67D9-FE25-45B3-A795-88204DDDB658}">
  <dimension ref="A1:S604"/>
  <sheetViews>
    <sheetView topLeftCell="M1" workbookViewId="0">
      <selection activeCell="H12" sqref="H12"/>
    </sheetView>
  </sheetViews>
  <sheetFormatPr defaultRowHeight="14.5"/>
  <cols>
    <col min="1" max="1" width="15.1796875" customWidth="1"/>
    <col min="2" max="2" width="17" customWidth="1"/>
    <col min="3" max="3" width="7.26953125" customWidth="1"/>
    <col min="4" max="4" width="25.6328125" customWidth="1"/>
    <col min="5" max="5" width="11.7265625" customWidth="1"/>
    <col min="6" max="6" width="20" customWidth="1"/>
    <col min="7" max="7" width="23.08984375" customWidth="1"/>
    <col min="8" max="8" width="26.08984375" customWidth="1"/>
    <col min="9" max="10" width="16.1796875" customWidth="1"/>
    <col min="11" max="11" width="17.08984375" customWidth="1"/>
    <col min="12" max="13" width="27.90625" customWidth="1"/>
    <col min="14" max="14" width="18.1796875" customWidth="1"/>
    <col min="15" max="15" width="22.26953125" customWidth="1"/>
    <col min="16" max="16" width="33.54296875" customWidth="1"/>
    <col min="17" max="17" width="20.36328125" customWidth="1"/>
    <col min="18" max="18" width="17.7265625" customWidth="1"/>
    <col min="19" max="19" width="19.453125" customWidth="1"/>
  </cols>
  <sheetData>
    <row r="1" spans="1:19" ht="21">
      <c r="A1" s="5" t="s">
        <v>0</v>
      </c>
      <c r="B1" s="5" t="s">
        <v>688</v>
      </c>
      <c r="C1" s="6" t="s">
        <v>1</v>
      </c>
      <c r="D1" s="6" t="s">
        <v>691</v>
      </c>
      <c r="E1" s="6" t="s">
        <v>2</v>
      </c>
      <c r="F1" s="6" t="s">
        <v>689</v>
      </c>
      <c r="G1" s="6" t="s">
        <v>3</v>
      </c>
      <c r="H1" s="6" t="s">
        <v>690</v>
      </c>
      <c r="I1" s="6" t="s">
        <v>4</v>
      </c>
      <c r="J1" s="6" t="s">
        <v>680</v>
      </c>
      <c r="K1" s="6" t="s">
        <v>5</v>
      </c>
      <c r="L1" s="6" t="s">
        <v>6</v>
      </c>
      <c r="M1" s="6" t="s">
        <v>686</v>
      </c>
      <c r="N1" s="6" t="s">
        <v>7</v>
      </c>
      <c r="O1" s="6" t="s">
        <v>8</v>
      </c>
      <c r="P1" s="6" t="s">
        <v>9</v>
      </c>
      <c r="Q1" s="7" t="s">
        <v>10</v>
      </c>
      <c r="R1" s="6" t="s">
        <v>685</v>
      </c>
      <c r="S1" s="6" t="s">
        <v>687</v>
      </c>
    </row>
    <row r="2" spans="1:19">
      <c r="A2" s="3" t="s">
        <v>11</v>
      </c>
      <c r="B2" s="3" t="str">
        <f>RIGHT(Table1[[#This Row],[Patient_ID]],4)</f>
        <v>1000</v>
      </c>
      <c r="C2" s="1">
        <v>67</v>
      </c>
      <c r="D2" s="1" t="str">
        <f>VLOOKUP(Table1[[#This Row],[Age]],'Lookup &amp; Reference'!$G$2:$H$5,2,1)</f>
        <v>High</v>
      </c>
      <c r="E2" s="1" t="s">
        <v>12</v>
      </c>
      <c r="F2" s="1" t="str">
        <f>_xlfn.CONCAT(LEFT(Table1[[#This Row],[Gender]],1),Table1[[#This Row],[Age]])</f>
        <v>F67</v>
      </c>
      <c r="G2" s="1" t="s">
        <v>13</v>
      </c>
      <c r="H2" s="1">
        <f>LEN(Table1[[#This Row],[Chest_Pain_Type]])</f>
        <v>11</v>
      </c>
      <c r="I2" s="1">
        <v>108</v>
      </c>
      <c r="J2" s="1" t="str" cm="1">
        <f t="array" ref="J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" s="1">
        <v>145</v>
      </c>
      <c r="L2" s="1" t="s">
        <v>14</v>
      </c>
      <c r="M2" s="1" t="str">
        <f>IF(Table1[[#This Row],[Fasting_Blood_Sugar]]="Yes","Diabetic Risk","Normal")</f>
        <v>Normal</v>
      </c>
      <c r="N2" s="1" t="s">
        <v>15</v>
      </c>
      <c r="O2" s="1">
        <v>202</v>
      </c>
      <c r="P2" s="1" t="s">
        <v>14</v>
      </c>
      <c r="Q2" s="4" t="s">
        <v>16</v>
      </c>
      <c r="R2" s="29" t="str" cm="1">
        <f t="array" ref="R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" s="28">
        <f>IFERROR(Table1[[#This Row],[Cholesterol]]/Table1[[#This Row],[Max_Heart_Rate]],"")</f>
        <v>0.71782178217821779</v>
      </c>
    </row>
    <row r="3" spans="1:19">
      <c r="A3" s="3" t="s">
        <v>17</v>
      </c>
      <c r="B3" s="3" t="str">
        <f>RIGHT(Table1[[#This Row],[Patient_ID]],4)</f>
        <v>1001</v>
      </c>
      <c r="C3" s="1">
        <v>44</v>
      </c>
      <c r="D3" s="1" t="str">
        <f>VLOOKUP(Table1[[#This Row],[Age]],'Lookup &amp; Reference'!$G$2:$H$5,2,1)</f>
        <v>Low</v>
      </c>
      <c r="E3" s="1" t="s">
        <v>18</v>
      </c>
      <c r="F3" s="1" t="str">
        <f>_xlfn.CONCAT(LEFT(Table1[[#This Row],[Gender]],1),Table1[[#This Row],[Age]])</f>
        <v>M44</v>
      </c>
      <c r="G3" s="1" t="s">
        <v>19</v>
      </c>
      <c r="H3" s="1">
        <f>LEN(Table1[[#This Row],[Chest_Pain_Type]])</f>
        <v>14</v>
      </c>
      <c r="I3" s="1">
        <v>140</v>
      </c>
      <c r="J3" s="1" t="str" cm="1">
        <f t="array" ref="J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" s="1">
        <v>127</v>
      </c>
      <c r="L3" s="1" t="s">
        <v>16</v>
      </c>
      <c r="M3" s="1" t="str">
        <f>IF(Table1[[#This Row],[Fasting_Blood_Sugar]]="Yes","Diabetic Risk","Normal")</f>
        <v>Diabetic Risk</v>
      </c>
      <c r="N3" s="1" t="s">
        <v>20</v>
      </c>
      <c r="O3" s="1">
        <v>127</v>
      </c>
      <c r="P3" s="1" t="s">
        <v>16</v>
      </c>
      <c r="Q3" s="4" t="s">
        <v>16</v>
      </c>
      <c r="R3" s="29" t="str" cm="1">
        <f t="array" ref="R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" s="1">
        <f>IFERROR(Table1[[#This Row],[Cholesterol]]/Table1[[#This Row],[Max_Heart_Rate]],"")</f>
        <v>1</v>
      </c>
    </row>
    <row r="4" spans="1:19">
      <c r="A4" s="3" t="s">
        <v>21</v>
      </c>
      <c r="B4" s="3" t="str">
        <f>RIGHT(Table1[[#This Row],[Patient_ID]],4)</f>
        <v>1002</v>
      </c>
      <c r="C4" s="1">
        <v>43</v>
      </c>
      <c r="D4" s="1" t="str">
        <f>VLOOKUP(Table1[[#This Row],[Age]],'Lookup &amp; Reference'!$G$2:$H$5,2,1)</f>
        <v>Low</v>
      </c>
      <c r="E4" s="1" t="s">
        <v>12</v>
      </c>
      <c r="F4" s="1" t="str">
        <f>_xlfn.CONCAT(LEFT(Table1[[#This Row],[Gender]],1),Table1[[#This Row],[Age]])</f>
        <v>F43</v>
      </c>
      <c r="G4" s="1" t="s">
        <v>22</v>
      </c>
      <c r="H4" s="1">
        <f>LEN(Table1[[#This Row],[Chest_Pain_Type]])</f>
        <v>15</v>
      </c>
      <c r="I4" s="1">
        <v>148</v>
      </c>
      <c r="J4" s="1" t="str" cm="1">
        <f t="array" ref="J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" s="1">
        <v>219</v>
      </c>
      <c r="L4" s="1" t="s">
        <v>16</v>
      </c>
      <c r="M4" s="1" t="str">
        <f>IF(Table1[[#This Row],[Fasting_Blood_Sugar]]="Yes","Diabetic Risk","Normal")</f>
        <v>Diabetic Risk</v>
      </c>
      <c r="N4" s="1" t="s">
        <v>20</v>
      </c>
      <c r="O4" s="1">
        <v>153</v>
      </c>
      <c r="P4" s="1" t="s">
        <v>14</v>
      </c>
      <c r="Q4" s="4" t="s">
        <v>14</v>
      </c>
      <c r="R4" s="29" t="str" cm="1">
        <f t="array" ref="R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" s="1">
        <f>IFERROR(Table1[[#This Row],[Cholesterol]]/Table1[[#This Row],[Max_Heart_Rate]],"")</f>
        <v>1.4313725490196079</v>
      </c>
    </row>
    <row r="5" spans="1:19">
      <c r="A5" s="3" t="s">
        <v>23</v>
      </c>
      <c r="B5" s="3" t="str">
        <f>RIGHT(Table1[[#This Row],[Patient_ID]],4)</f>
        <v>1003</v>
      </c>
      <c r="C5" s="1">
        <v>71</v>
      </c>
      <c r="D5" s="1" t="str">
        <f>VLOOKUP(Table1[[#This Row],[Age]],'Lookup &amp; Reference'!$G$2:$H$5,2,1)</f>
        <v>High</v>
      </c>
      <c r="E5" s="1" t="s">
        <v>12</v>
      </c>
      <c r="F5" s="1" t="str">
        <f>_xlfn.CONCAT(LEFT(Table1[[#This Row],[Gender]],1),Table1[[#This Row],[Age]])</f>
        <v>F71</v>
      </c>
      <c r="G5" s="1" t="s">
        <v>22</v>
      </c>
      <c r="H5" s="1">
        <f>LEN(Table1[[#This Row],[Chest_Pain_Type]])</f>
        <v>15</v>
      </c>
      <c r="I5" s="1">
        <v>120</v>
      </c>
      <c r="J5" s="1" t="str" cm="1">
        <f t="array" ref="J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" s="1">
        <v>341</v>
      </c>
      <c r="L5" s="1" t="s">
        <v>14</v>
      </c>
      <c r="M5" s="1" t="str">
        <f>IF(Table1[[#This Row],[Fasting_Blood_Sugar]]="Yes","Diabetic Risk","Normal")</f>
        <v>Normal</v>
      </c>
      <c r="N5" s="1" t="s">
        <v>20</v>
      </c>
      <c r="O5" s="1">
        <v>158</v>
      </c>
      <c r="P5" s="1" t="s">
        <v>16</v>
      </c>
      <c r="Q5" s="4" t="s">
        <v>14</v>
      </c>
      <c r="R5" s="29" t="str" cm="1">
        <f t="array" ref="R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" s="1">
        <f>IFERROR(Table1[[#This Row],[Cholesterol]]/Table1[[#This Row],[Max_Heart_Rate]],"")</f>
        <v>2.1582278481012658</v>
      </c>
    </row>
    <row r="6" spans="1:19">
      <c r="A6" s="3" t="s">
        <v>24</v>
      </c>
      <c r="B6" s="3" t="str">
        <f>RIGHT(Table1[[#This Row],[Patient_ID]],4)</f>
        <v>1004</v>
      </c>
      <c r="C6" s="1">
        <v>36</v>
      </c>
      <c r="D6" s="1" t="str">
        <f>VLOOKUP(Table1[[#This Row],[Age]],'Lookup &amp; Reference'!$G$2:$H$5,2,1)</f>
        <v>Low</v>
      </c>
      <c r="E6" s="1" t="s">
        <v>18</v>
      </c>
      <c r="F6" s="1" t="str">
        <f>_xlfn.CONCAT(LEFT(Table1[[#This Row],[Gender]],1),Table1[[#This Row],[Age]])</f>
        <v>M36</v>
      </c>
      <c r="G6" s="1" t="s">
        <v>25</v>
      </c>
      <c r="H6" s="1">
        <f>LEN(Table1[[#This Row],[Chest_Pain_Type]])</f>
        <v>12</v>
      </c>
      <c r="I6" s="1">
        <v>150</v>
      </c>
      <c r="J6" s="1" t="str" cm="1">
        <f t="array" ref="J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6" s="1">
        <v>206</v>
      </c>
      <c r="L6" s="1" t="s">
        <v>16</v>
      </c>
      <c r="M6" s="1" t="str">
        <f>IF(Table1[[#This Row],[Fasting_Blood_Sugar]]="Yes","Diabetic Risk","Normal")</f>
        <v>Diabetic Risk</v>
      </c>
      <c r="N6" s="1" t="s">
        <v>20</v>
      </c>
      <c r="O6" s="1">
        <v>97</v>
      </c>
      <c r="P6" s="1" t="s">
        <v>14</v>
      </c>
      <c r="Q6" s="4" t="s">
        <v>16</v>
      </c>
      <c r="R6" s="29" t="str" cm="1">
        <f t="array" ref="R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" s="1">
        <f>IFERROR(Table1[[#This Row],[Cholesterol]]/Table1[[#This Row],[Max_Heart_Rate]],"")</f>
        <v>2.1237113402061856</v>
      </c>
    </row>
    <row r="7" spans="1:19">
      <c r="A7" s="3" t="s">
        <v>26</v>
      </c>
      <c r="B7" s="3" t="str">
        <f>RIGHT(Table1[[#This Row],[Patient_ID]],4)</f>
        <v>1005</v>
      </c>
      <c r="C7" s="1">
        <v>49</v>
      </c>
      <c r="D7" s="1" t="str">
        <f>VLOOKUP(Table1[[#This Row],[Age]],'Lookup &amp; Reference'!$G$2:$H$5,2,1)</f>
        <v>Medium</v>
      </c>
      <c r="E7" s="1" t="s">
        <v>12</v>
      </c>
      <c r="F7" s="1" t="str">
        <f>_xlfn.CONCAT(LEFT(Table1[[#This Row],[Gender]],1),Table1[[#This Row],[Age]])</f>
        <v>F49</v>
      </c>
      <c r="G7" s="1" t="s">
        <v>22</v>
      </c>
      <c r="H7" s="1">
        <f>LEN(Table1[[#This Row],[Chest_Pain_Type]])</f>
        <v>15</v>
      </c>
      <c r="I7" s="1">
        <v>106</v>
      </c>
      <c r="J7" s="1" t="str" cm="1">
        <f t="array" ref="J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7" s="1">
        <v>161</v>
      </c>
      <c r="L7" s="1" t="s">
        <v>14</v>
      </c>
      <c r="M7" s="1" t="str">
        <f>IF(Table1[[#This Row],[Fasting_Blood_Sugar]]="Yes","Diabetic Risk","Normal")</f>
        <v>Normal</v>
      </c>
      <c r="N7" s="1" t="s">
        <v>27</v>
      </c>
      <c r="O7" s="1">
        <v>123</v>
      </c>
      <c r="P7" s="1" t="s">
        <v>14</v>
      </c>
      <c r="Q7" s="4" t="s">
        <v>16</v>
      </c>
      <c r="R7" s="29" t="str" cm="1">
        <f t="array" ref="R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7" s="1">
        <f>IFERROR(Table1[[#This Row],[Cholesterol]]/Table1[[#This Row],[Max_Heart_Rate]],"")</f>
        <v>1.3089430894308942</v>
      </c>
    </row>
    <row r="8" spans="1:19">
      <c r="A8" s="3" t="s">
        <v>28</v>
      </c>
      <c r="B8" s="3" t="str">
        <f>RIGHT(Table1[[#This Row],[Patient_ID]],4)</f>
        <v>1006</v>
      </c>
      <c r="C8" s="1">
        <v>67</v>
      </c>
      <c r="D8" s="1" t="str">
        <f>VLOOKUP(Table1[[#This Row],[Age]],'Lookup &amp; Reference'!$G$2:$H$5,2,1)</f>
        <v>High</v>
      </c>
      <c r="E8" s="1" t="s">
        <v>18</v>
      </c>
      <c r="F8" s="1" t="str">
        <f>_xlfn.CONCAT(LEFT(Table1[[#This Row],[Gender]],1),Table1[[#This Row],[Age]])</f>
        <v>M67</v>
      </c>
      <c r="G8" s="1" t="s">
        <v>19</v>
      </c>
      <c r="H8" s="1">
        <f>LEN(Table1[[#This Row],[Chest_Pain_Type]])</f>
        <v>14</v>
      </c>
      <c r="I8" s="1">
        <v>163</v>
      </c>
      <c r="J8" s="1" t="str" cm="1">
        <f t="array" ref="J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8" s="1">
        <v>291</v>
      </c>
      <c r="L8" s="1" t="s">
        <v>14</v>
      </c>
      <c r="M8" s="1" t="str">
        <f>IF(Table1[[#This Row],[Fasting_Blood_Sugar]]="Yes","Diabetic Risk","Normal")</f>
        <v>Normal</v>
      </c>
      <c r="N8" s="1" t="s">
        <v>27</v>
      </c>
      <c r="O8" s="1">
        <v>137</v>
      </c>
      <c r="P8" s="1" t="s">
        <v>16</v>
      </c>
      <c r="Q8" s="4" t="s">
        <v>14</v>
      </c>
      <c r="R8" s="29" t="str" cm="1">
        <f t="array" ref="R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" s="1">
        <f>IFERROR(Table1[[#This Row],[Cholesterol]]/Table1[[#This Row],[Max_Heart_Rate]],"")</f>
        <v>2.1240875912408761</v>
      </c>
    </row>
    <row r="9" spans="1:19">
      <c r="A9" s="3" t="s">
        <v>29</v>
      </c>
      <c r="B9" s="3" t="str">
        <f>RIGHT(Table1[[#This Row],[Patient_ID]],4)</f>
        <v>1007</v>
      </c>
      <c r="C9" s="1">
        <v>47</v>
      </c>
      <c r="D9" s="1" t="str">
        <f>VLOOKUP(Table1[[#This Row],[Age]],'Lookup &amp; Reference'!$G$2:$H$5,2,1)</f>
        <v>Medium</v>
      </c>
      <c r="E9" s="1" t="s">
        <v>18</v>
      </c>
      <c r="F9" s="1" t="str">
        <f>_xlfn.CONCAT(LEFT(Table1[[#This Row],[Gender]],1),Table1[[#This Row],[Age]])</f>
        <v>M47</v>
      </c>
      <c r="G9" s="1" t="s">
        <v>22</v>
      </c>
      <c r="H9" s="1">
        <f>LEN(Table1[[#This Row],[Chest_Pain_Type]])</f>
        <v>15</v>
      </c>
      <c r="I9" s="1">
        <v>146</v>
      </c>
      <c r="J9" s="1" t="str" cm="1">
        <f t="array" ref="J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9" s="1">
        <v>133</v>
      </c>
      <c r="L9" s="1" t="s">
        <v>14</v>
      </c>
      <c r="M9" s="1" t="str">
        <f>IF(Table1[[#This Row],[Fasting_Blood_Sugar]]="Yes","Diabetic Risk","Normal")</f>
        <v>Normal</v>
      </c>
      <c r="N9" s="1" t="s">
        <v>27</v>
      </c>
      <c r="O9" s="1">
        <v>205</v>
      </c>
      <c r="P9" s="1" t="s">
        <v>16</v>
      </c>
      <c r="Q9" s="4" t="s">
        <v>16</v>
      </c>
      <c r="R9" s="29" t="str" cm="1">
        <f t="array" ref="R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9" s="1">
        <f>IFERROR(Table1[[#This Row],[Cholesterol]]/Table1[[#This Row],[Max_Heart_Rate]],"")</f>
        <v>0.64878048780487807</v>
      </c>
    </row>
    <row r="10" spans="1:19">
      <c r="A10" s="3" t="s">
        <v>30</v>
      </c>
      <c r="B10" s="3" t="str">
        <f>RIGHT(Table1[[#This Row],[Patient_ID]],4)</f>
        <v>1008</v>
      </c>
      <c r="C10" s="1">
        <v>51</v>
      </c>
      <c r="D10" s="1" t="str">
        <f>VLOOKUP(Table1[[#This Row],[Age]],'Lookup &amp; Reference'!$G$2:$H$5,2,1)</f>
        <v>Medium</v>
      </c>
      <c r="E10" s="1" t="s">
        <v>18</v>
      </c>
      <c r="F10" s="1" t="str">
        <f>_xlfn.CONCAT(LEFT(Table1[[#This Row],[Gender]],1),Table1[[#This Row],[Age]])</f>
        <v>M51</v>
      </c>
      <c r="G10" s="1" t="s">
        <v>13</v>
      </c>
      <c r="H10" s="1">
        <f>LEN(Table1[[#This Row],[Chest_Pain_Type]])</f>
        <v>11</v>
      </c>
      <c r="I10" s="1">
        <v>144</v>
      </c>
      <c r="J10" s="1" t="str" cm="1">
        <f t="array" ref="J1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0" s="1">
        <v>197</v>
      </c>
      <c r="L10" s="1" t="s">
        <v>14</v>
      </c>
      <c r="M10" s="1" t="str">
        <f>IF(Table1[[#This Row],[Fasting_Blood_Sugar]]="Yes","Diabetic Risk","Normal")</f>
        <v>Normal</v>
      </c>
      <c r="N10" s="1" t="s">
        <v>20</v>
      </c>
      <c r="O10" s="1">
        <v>145</v>
      </c>
      <c r="P10" s="1" t="s">
        <v>16</v>
      </c>
      <c r="Q10" s="4" t="s">
        <v>16</v>
      </c>
      <c r="R10" s="29" t="str" cm="1">
        <f t="array" ref="R1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0" s="1">
        <f>IFERROR(Table1[[#This Row],[Cholesterol]]/Table1[[#This Row],[Max_Heart_Rate]],"")</f>
        <v>1.3586206896551725</v>
      </c>
    </row>
    <row r="11" spans="1:19">
      <c r="A11" s="3" t="s">
        <v>31</v>
      </c>
      <c r="B11" s="3" t="str">
        <f>RIGHT(Table1[[#This Row],[Patient_ID]],4)</f>
        <v>1009</v>
      </c>
      <c r="C11" s="1">
        <v>39</v>
      </c>
      <c r="D11" s="1" t="str">
        <f>VLOOKUP(Table1[[#This Row],[Age]],'Lookup &amp; Reference'!$G$2:$H$5,2,1)</f>
        <v>Low</v>
      </c>
      <c r="E11" s="1" t="s">
        <v>18</v>
      </c>
      <c r="F11" s="1" t="str">
        <f>_xlfn.CONCAT(LEFT(Table1[[#This Row],[Gender]],1),Table1[[#This Row],[Age]])</f>
        <v>M39</v>
      </c>
      <c r="G11" s="1" t="s">
        <v>13</v>
      </c>
      <c r="H11" s="1">
        <f>LEN(Table1[[#This Row],[Chest_Pain_Type]])</f>
        <v>11</v>
      </c>
      <c r="I11" s="1">
        <v>136</v>
      </c>
      <c r="J11" s="1" t="str" cm="1">
        <f t="array" ref="J1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1" s="1">
        <v>121</v>
      </c>
      <c r="L11" s="1" t="s">
        <v>14</v>
      </c>
      <c r="M11" s="1" t="str">
        <f>IF(Table1[[#This Row],[Fasting_Blood_Sugar]]="Yes","Diabetic Risk","Normal")</f>
        <v>Normal</v>
      </c>
      <c r="N11" s="1" t="s">
        <v>20</v>
      </c>
      <c r="O11" s="1">
        <v>165</v>
      </c>
      <c r="P11" s="1" t="s">
        <v>16</v>
      </c>
      <c r="Q11" s="4" t="s">
        <v>14</v>
      </c>
      <c r="R11" s="29" t="str" cm="1">
        <f t="array" ref="R1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1" s="1">
        <f>IFERROR(Table1[[#This Row],[Cholesterol]]/Table1[[#This Row],[Max_Heart_Rate]],"")</f>
        <v>0.73333333333333328</v>
      </c>
    </row>
    <row r="12" spans="1:19">
      <c r="A12" s="3" t="s">
        <v>32</v>
      </c>
      <c r="B12" s="3" t="str">
        <f>RIGHT(Table1[[#This Row],[Patient_ID]],4)</f>
        <v>1010</v>
      </c>
      <c r="C12" s="1">
        <v>39</v>
      </c>
      <c r="D12" s="1" t="str">
        <f>VLOOKUP(Table1[[#This Row],[Age]],'Lookup &amp; Reference'!$G$2:$H$5,2,1)</f>
        <v>Low</v>
      </c>
      <c r="E12" s="1" t="s">
        <v>18</v>
      </c>
      <c r="F12" s="1" t="str">
        <f>_xlfn.CONCAT(LEFT(Table1[[#This Row],[Gender]],1),Table1[[#This Row],[Age]])</f>
        <v>M39</v>
      </c>
      <c r="G12" s="1" t="s">
        <v>25</v>
      </c>
      <c r="H12" s="1">
        <f>LEN(Table1[[#This Row],[Chest_Pain_Type]])</f>
        <v>12</v>
      </c>
      <c r="I12" s="1">
        <v>101</v>
      </c>
      <c r="J12" s="1" t="str" cm="1">
        <f t="array" ref="J1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2" s="1">
        <v>238</v>
      </c>
      <c r="L12" s="1" t="s">
        <v>14</v>
      </c>
      <c r="M12" s="1" t="str">
        <f>IF(Table1[[#This Row],[Fasting_Blood_Sugar]]="Yes","Diabetic Risk","Normal")</f>
        <v>Normal</v>
      </c>
      <c r="N12" s="1" t="s">
        <v>20</v>
      </c>
      <c r="O12" s="1">
        <v>191</v>
      </c>
      <c r="P12" s="1" t="s">
        <v>14</v>
      </c>
      <c r="Q12" s="4" t="s">
        <v>14</v>
      </c>
      <c r="R12" s="29" t="str" cm="1">
        <f t="array" ref="R1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2" s="1">
        <f>IFERROR(Table1[[#This Row],[Cholesterol]]/Table1[[#This Row],[Max_Heart_Rate]],"")</f>
        <v>1.2460732984293195</v>
      </c>
    </row>
    <row r="13" spans="1:19">
      <c r="A13" s="3" t="s">
        <v>33</v>
      </c>
      <c r="B13" s="3" t="str">
        <f>RIGHT(Table1[[#This Row],[Patient_ID]],4)</f>
        <v>1011</v>
      </c>
      <c r="C13" s="1">
        <v>52</v>
      </c>
      <c r="D13" s="1" t="str">
        <f>VLOOKUP(Table1[[#This Row],[Age]],'Lookup &amp; Reference'!$G$2:$H$5,2,1)</f>
        <v>Medium</v>
      </c>
      <c r="E13" s="1" t="s">
        <v>18</v>
      </c>
      <c r="F13" s="1" t="str">
        <f>_xlfn.CONCAT(LEFT(Table1[[#This Row],[Gender]],1),Table1[[#This Row],[Age]])</f>
        <v>M52</v>
      </c>
      <c r="G13" s="1" t="s">
        <v>19</v>
      </c>
      <c r="H13" s="1">
        <f>LEN(Table1[[#This Row],[Chest_Pain_Type]])</f>
        <v>14</v>
      </c>
      <c r="I13" s="1">
        <v>151</v>
      </c>
      <c r="J13" s="1" t="str" cm="1">
        <f t="array" ref="J1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3" s="1">
        <v>156</v>
      </c>
      <c r="L13" s="1" t="s">
        <v>16</v>
      </c>
      <c r="M13" s="1" t="str">
        <f>IF(Table1[[#This Row],[Fasting_Blood_Sugar]]="Yes","Diabetic Risk","Normal")</f>
        <v>Diabetic Risk</v>
      </c>
      <c r="N13" s="1" t="s">
        <v>27</v>
      </c>
      <c r="O13" s="1">
        <v>154</v>
      </c>
      <c r="P13" s="1" t="s">
        <v>14</v>
      </c>
      <c r="Q13" s="4" t="s">
        <v>16</v>
      </c>
      <c r="R13" s="29" t="str" cm="1">
        <f t="array" ref="R1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3" s="1">
        <f>IFERROR(Table1[[#This Row],[Cholesterol]]/Table1[[#This Row],[Max_Heart_Rate]],"")</f>
        <v>1.0129870129870129</v>
      </c>
    </row>
    <row r="14" spans="1:19">
      <c r="A14" s="3" t="s">
        <v>34</v>
      </c>
      <c r="B14" s="3" t="str">
        <f>RIGHT(Table1[[#This Row],[Patient_ID]],4)</f>
        <v>1012</v>
      </c>
      <c r="C14" s="1">
        <v>64</v>
      </c>
      <c r="D14" s="1" t="str">
        <f>VLOOKUP(Table1[[#This Row],[Age]],'Lookup &amp; Reference'!$G$2:$H$5,2,1)</f>
        <v>High</v>
      </c>
      <c r="E14" s="1" t="s">
        <v>18</v>
      </c>
      <c r="F14" s="1" t="str">
        <f>_xlfn.CONCAT(LEFT(Table1[[#This Row],[Gender]],1),Table1[[#This Row],[Age]])</f>
        <v>M64</v>
      </c>
      <c r="G14" s="1" t="s">
        <v>13</v>
      </c>
      <c r="H14" s="1">
        <f>LEN(Table1[[#This Row],[Chest_Pain_Type]])</f>
        <v>11</v>
      </c>
      <c r="I14" s="1">
        <v>169</v>
      </c>
      <c r="J14" s="1" t="str" cm="1">
        <f t="array" ref="J1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" s="1">
        <v>188</v>
      </c>
      <c r="L14" s="1" t="s">
        <v>16</v>
      </c>
      <c r="M14" s="1" t="str">
        <f>IF(Table1[[#This Row],[Fasting_Blood_Sugar]]="Yes","Diabetic Risk","Normal")</f>
        <v>Diabetic Risk</v>
      </c>
      <c r="N14" s="1" t="s">
        <v>20</v>
      </c>
      <c r="O14" s="1">
        <v>120</v>
      </c>
      <c r="P14" s="1" t="s">
        <v>14</v>
      </c>
      <c r="Q14" s="4" t="s">
        <v>16</v>
      </c>
      <c r="R14" s="29" t="str" cm="1">
        <f t="array" ref="R1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4" s="1">
        <f>IFERROR(Table1[[#This Row],[Cholesterol]]/Table1[[#This Row],[Max_Heart_Rate]],"")</f>
        <v>1.5666666666666667</v>
      </c>
    </row>
    <row r="15" spans="1:19">
      <c r="A15" s="3" t="s">
        <v>35</v>
      </c>
      <c r="B15" s="3" t="str">
        <f>RIGHT(Table1[[#This Row],[Patient_ID]],4)</f>
        <v>1013</v>
      </c>
      <c r="C15" s="1">
        <v>68</v>
      </c>
      <c r="D15" s="1" t="str">
        <f>VLOOKUP(Table1[[#This Row],[Age]],'Lookup &amp; Reference'!$G$2:$H$5,2,1)</f>
        <v>High</v>
      </c>
      <c r="E15" s="1" t="s">
        <v>12</v>
      </c>
      <c r="F15" s="1" t="str">
        <f>_xlfn.CONCAT(LEFT(Table1[[#This Row],[Gender]],1),Table1[[#This Row],[Age]])</f>
        <v>F68</v>
      </c>
      <c r="G15" s="1" t="s">
        <v>13</v>
      </c>
      <c r="H15" s="1">
        <f>LEN(Table1[[#This Row],[Chest_Pain_Type]])</f>
        <v>11</v>
      </c>
      <c r="I15" s="1">
        <v>177</v>
      </c>
      <c r="J15" s="1" t="str" cm="1">
        <f t="array" ref="J1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" s="1">
        <v>285</v>
      </c>
      <c r="L15" s="1" t="s">
        <v>14</v>
      </c>
      <c r="M15" s="1" t="str">
        <f>IF(Table1[[#This Row],[Fasting_Blood_Sugar]]="Yes","Diabetic Risk","Normal")</f>
        <v>Normal</v>
      </c>
      <c r="N15" s="1" t="s">
        <v>15</v>
      </c>
      <c r="O15" s="1">
        <v>93</v>
      </c>
      <c r="P15" s="1" t="s">
        <v>16</v>
      </c>
      <c r="Q15" s="4" t="s">
        <v>16</v>
      </c>
      <c r="R15" s="1" t="str" cm="1">
        <f t="array" ref="R1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5" s="1">
        <f>IFERROR(Table1[[#This Row],[Cholesterol]]/Table1[[#This Row],[Max_Heart_Rate]],"")</f>
        <v>3.064516129032258</v>
      </c>
    </row>
    <row r="16" spans="1:19">
      <c r="A16" s="3" t="s">
        <v>36</v>
      </c>
      <c r="B16" s="3" t="str">
        <f>RIGHT(Table1[[#This Row],[Patient_ID]],4)</f>
        <v>1014</v>
      </c>
      <c r="C16" s="1">
        <v>52</v>
      </c>
      <c r="D16" s="1" t="str">
        <f>VLOOKUP(Table1[[#This Row],[Age]],'Lookup &amp; Reference'!$G$2:$H$5,2,1)</f>
        <v>Medium</v>
      </c>
      <c r="E16" s="1" t="s">
        <v>18</v>
      </c>
      <c r="F16" s="1" t="str">
        <f>_xlfn.CONCAT(LEFT(Table1[[#This Row],[Gender]],1),Table1[[#This Row],[Age]])</f>
        <v>M52</v>
      </c>
      <c r="G16" s="1" t="s">
        <v>19</v>
      </c>
      <c r="H16" s="1">
        <f>LEN(Table1[[#This Row],[Chest_Pain_Type]])</f>
        <v>14</v>
      </c>
      <c r="I16" s="1">
        <v>172</v>
      </c>
      <c r="J16" s="1" t="str" cm="1">
        <f t="array" ref="J1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6" s="1">
        <v>160</v>
      </c>
      <c r="L16" s="1" t="s">
        <v>14</v>
      </c>
      <c r="M16" s="1" t="str">
        <f>IF(Table1[[#This Row],[Fasting_Blood_Sugar]]="Yes","Diabetic Risk","Normal")</f>
        <v>Normal</v>
      </c>
      <c r="N16" s="1" t="s">
        <v>15</v>
      </c>
      <c r="O16" s="1">
        <v>202</v>
      </c>
      <c r="P16" s="1" t="s">
        <v>16</v>
      </c>
      <c r="Q16" s="4" t="s">
        <v>14</v>
      </c>
      <c r="R16" s="1" t="str" cm="1">
        <f t="array" ref="R1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6" s="1">
        <f>IFERROR(Table1[[#This Row],[Cholesterol]]/Table1[[#This Row],[Max_Heart_Rate]],"")</f>
        <v>0.79207920792079212</v>
      </c>
    </row>
    <row r="17" spans="1:19">
      <c r="A17" s="3" t="s">
        <v>37</v>
      </c>
      <c r="B17" s="3" t="str">
        <f>RIGHT(Table1[[#This Row],[Patient_ID]],4)</f>
        <v>1015</v>
      </c>
      <c r="C17" s="1">
        <v>31</v>
      </c>
      <c r="D17" s="1" t="str">
        <f>VLOOKUP(Table1[[#This Row],[Age]],'Lookup &amp; Reference'!$G$2:$H$5,2,1)</f>
        <v>Low</v>
      </c>
      <c r="E17" s="1" t="s">
        <v>18</v>
      </c>
      <c r="F17" s="1" t="str">
        <f>_xlfn.CONCAT(LEFT(Table1[[#This Row],[Gender]],1),Table1[[#This Row],[Age]])</f>
        <v>M31</v>
      </c>
      <c r="G17" s="1" t="s">
        <v>22</v>
      </c>
      <c r="H17" s="1">
        <f>LEN(Table1[[#This Row],[Chest_Pain_Type]])</f>
        <v>15</v>
      </c>
      <c r="I17" s="1">
        <v>97</v>
      </c>
      <c r="J17" s="1" t="str" cm="1">
        <f t="array" ref="J1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7" s="1">
        <v>181</v>
      </c>
      <c r="L17" s="1" t="s">
        <v>14</v>
      </c>
      <c r="M17" s="1" t="str">
        <f>IF(Table1[[#This Row],[Fasting_Blood_Sugar]]="Yes","Diabetic Risk","Normal")</f>
        <v>Normal</v>
      </c>
      <c r="N17" s="1" t="s">
        <v>20</v>
      </c>
      <c r="O17" s="1">
        <v>198</v>
      </c>
      <c r="P17" s="1" t="s">
        <v>14</v>
      </c>
      <c r="Q17" s="4" t="s">
        <v>16</v>
      </c>
      <c r="R17" s="1" t="str" cm="1">
        <f t="array" ref="R1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" s="1">
        <f>IFERROR(Table1[[#This Row],[Cholesterol]]/Table1[[#This Row],[Max_Heart_Rate]],"")</f>
        <v>0.91414141414141414</v>
      </c>
    </row>
    <row r="18" spans="1:19">
      <c r="A18" s="3" t="s">
        <v>38</v>
      </c>
      <c r="B18" s="3" t="str">
        <f>RIGHT(Table1[[#This Row],[Patient_ID]],4)</f>
        <v>1016</v>
      </c>
      <c r="C18" s="1">
        <v>50</v>
      </c>
      <c r="D18" s="1" t="str">
        <f>VLOOKUP(Table1[[#This Row],[Age]],'Lookup &amp; Reference'!$G$2:$H$5,2,1)</f>
        <v>Medium</v>
      </c>
      <c r="E18" s="1" t="s">
        <v>12</v>
      </c>
      <c r="F18" s="1" t="str">
        <f>_xlfn.CONCAT(LEFT(Table1[[#This Row],[Gender]],1),Table1[[#This Row],[Age]])</f>
        <v>F50</v>
      </c>
      <c r="G18" s="1" t="s">
        <v>22</v>
      </c>
      <c r="H18" s="1">
        <f>LEN(Table1[[#This Row],[Chest_Pain_Type]])</f>
        <v>15</v>
      </c>
      <c r="I18" s="1">
        <v>184</v>
      </c>
      <c r="J18" s="1" t="str" cm="1">
        <f t="array" ref="J1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8" s="1">
        <v>179</v>
      </c>
      <c r="L18" s="1" t="s">
        <v>16</v>
      </c>
      <c r="M18" s="1" t="str">
        <f>IF(Table1[[#This Row],[Fasting_Blood_Sugar]]="Yes","Diabetic Risk","Normal")</f>
        <v>Diabetic Risk</v>
      </c>
      <c r="N18" s="1" t="s">
        <v>15</v>
      </c>
      <c r="O18" s="1">
        <v>139</v>
      </c>
      <c r="P18" s="1" t="s">
        <v>16</v>
      </c>
      <c r="Q18" s="4" t="s">
        <v>16</v>
      </c>
      <c r="R18" s="1" t="str" cm="1">
        <f t="array" ref="R1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8" s="1">
        <f>IFERROR(Table1[[#This Row],[Cholesterol]]/Table1[[#This Row],[Max_Heart_Rate]],"")</f>
        <v>1.2877697841726619</v>
      </c>
    </row>
    <row r="19" spans="1:19">
      <c r="A19" s="3" t="s">
        <v>39</v>
      </c>
      <c r="B19" s="3" t="str">
        <f>RIGHT(Table1[[#This Row],[Patient_ID]],4)</f>
        <v>1017</v>
      </c>
      <c r="C19" s="1">
        <v>30</v>
      </c>
      <c r="D19" s="1" t="str">
        <f>VLOOKUP(Table1[[#This Row],[Age]],'Lookup &amp; Reference'!$G$2:$H$5,2,1)</f>
        <v>Low</v>
      </c>
      <c r="E19" s="1" t="s">
        <v>12</v>
      </c>
      <c r="F19" s="1" t="str">
        <f>_xlfn.CONCAT(LEFT(Table1[[#This Row],[Gender]],1),Table1[[#This Row],[Age]])</f>
        <v>F30</v>
      </c>
      <c r="G19" s="1" t="s">
        <v>25</v>
      </c>
      <c r="H19" s="1">
        <f>LEN(Table1[[#This Row],[Chest_Pain_Type]])</f>
        <v>12</v>
      </c>
      <c r="I19" s="1">
        <v>110</v>
      </c>
      <c r="J19" s="1" t="str" cm="1">
        <f t="array" ref="J1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9" s="1">
        <v>244</v>
      </c>
      <c r="L19" s="1" t="s">
        <v>14</v>
      </c>
      <c r="M19" s="1" t="str">
        <f>IF(Table1[[#This Row],[Fasting_Blood_Sugar]]="Yes","Diabetic Risk","Normal")</f>
        <v>Normal</v>
      </c>
      <c r="N19" s="1" t="s">
        <v>15</v>
      </c>
      <c r="O19" s="1">
        <v>158</v>
      </c>
      <c r="P19" s="1" t="s">
        <v>14</v>
      </c>
      <c r="Q19" s="4" t="s">
        <v>14</v>
      </c>
      <c r="R19" s="1" t="str" cm="1">
        <f t="array" ref="R1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" s="1">
        <f>IFERROR(Table1[[#This Row],[Cholesterol]]/Table1[[#This Row],[Max_Heart_Rate]],"")</f>
        <v>1.5443037974683544</v>
      </c>
    </row>
    <row r="20" spans="1:19">
      <c r="A20" s="3" t="s">
        <v>40</v>
      </c>
      <c r="B20" s="3" t="str">
        <f>RIGHT(Table1[[#This Row],[Patient_ID]],4)</f>
        <v>1018</v>
      </c>
      <c r="C20" s="1">
        <v>52</v>
      </c>
      <c r="D20" s="1" t="str">
        <f>VLOOKUP(Table1[[#This Row],[Age]],'Lookup &amp; Reference'!$G$2:$H$5,2,1)</f>
        <v>Medium</v>
      </c>
      <c r="E20" s="1" t="s">
        <v>12</v>
      </c>
      <c r="F20" s="1" t="str">
        <f>_xlfn.CONCAT(LEFT(Table1[[#This Row],[Gender]],1),Table1[[#This Row],[Age]])</f>
        <v>F52</v>
      </c>
      <c r="G20" s="1" t="s">
        <v>22</v>
      </c>
      <c r="H20" s="1">
        <f>LEN(Table1[[#This Row],[Chest_Pain_Type]])</f>
        <v>15</v>
      </c>
      <c r="I20" s="1">
        <v>170</v>
      </c>
      <c r="J20" s="1" t="str" cm="1">
        <f t="array" ref="J2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0" s="1">
        <v>230</v>
      </c>
      <c r="L20" s="1" t="s">
        <v>16</v>
      </c>
      <c r="M20" s="1" t="str">
        <f>IF(Table1[[#This Row],[Fasting_Blood_Sugar]]="Yes","Diabetic Risk","Normal")</f>
        <v>Diabetic Risk</v>
      </c>
      <c r="N20" s="1" t="s">
        <v>27</v>
      </c>
      <c r="O20" s="1">
        <v>119</v>
      </c>
      <c r="P20" s="1" t="s">
        <v>14</v>
      </c>
      <c r="Q20" s="4" t="s">
        <v>14</v>
      </c>
      <c r="R20" s="1" t="str" cm="1">
        <f t="array" ref="R2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" s="1">
        <f>IFERROR(Table1[[#This Row],[Cholesterol]]/Table1[[#This Row],[Max_Heart_Rate]],"")</f>
        <v>1.9327731092436975</v>
      </c>
    </row>
    <row r="21" spans="1:19">
      <c r="A21" s="3" t="s">
        <v>41</v>
      </c>
      <c r="B21" s="3" t="str">
        <f>RIGHT(Table1[[#This Row],[Patient_ID]],4)</f>
        <v>1019</v>
      </c>
      <c r="C21" s="1">
        <v>72</v>
      </c>
      <c r="D21" s="1" t="str">
        <f>VLOOKUP(Table1[[#This Row],[Age]],'Lookup &amp; Reference'!$G$2:$H$5,2,1)</f>
        <v>High</v>
      </c>
      <c r="E21" s="1" t="s">
        <v>18</v>
      </c>
      <c r="F21" s="1" t="str">
        <f>_xlfn.CONCAT(LEFT(Table1[[#This Row],[Gender]],1),Table1[[#This Row],[Age]])</f>
        <v>M72</v>
      </c>
      <c r="G21" s="1" t="s">
        <v>19</v>
      </c>
      <c r="H21" s="1">
        <f>LEN(Table1[[#This Row],[Chest_Pain_Type]])</f>
        <v>14</v>
      </c>
      <c r="I21" s="1">
        <v>176</v>
      </c>
      <c r="J21" s="1" t="str" cm="1">
        <f t="array" ref="J2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1" s="1">
        <v>133</v>
      </c>
      <c r="L21" s="1" t="s">
        <v>14</v>
      </c>
      <c r="M21" s="1" t="str">
        <f>IF(Table1[[#This Row],[Fasting_Blood_Sugar]]="Yes","Diabetic Risk","Normal")</f>
        <v>Normal</v>
      </c>
      <c r="N21" s="1" t="s">
        <v>20</v>
      </c>
      <c r="O21" s="1">
        <v>209</v>
      </c>
      <c r="P21" s="1" t="s">
        <v>14</v>
      </c>
      <c r="Q21" s="4" t="s">
        <v>16</v>
      </c>
      <c r="R21" s="1" t="str" cm="1">
        <f t="array" ref="R2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1" s="1">
        <f>IFERROR(Table1[[#This Row],[Cholesterol]]/Table1[[#This Row],[Max_Heart_Rate]],"")</f>
        <v>0.63636363636363635</v>
      </c>
    </row>
    <row r="22" spans="1:19">
      <c r="A22" s="3" t="s">
        <v>42</v>
      </c>
      <c r="B22" s="3" t="str">
        <f>RIGHT(Table1[[#This Row],[Patient_ID]],4)</f>
        <v>1020</v>
      </c>
      <c r="C22" s="1">
        <v>58</v>
      </c>
      <c r="D22" s="1" t="str">
        <f>VLOOKUP(Table1[[#This Row],[Age]],'Lookup &amp; Reference'!$G$2:$H$5,2,1)</f>
        <v>Medium</v>
      </c>
      <c r="E22" s="1" t="s">
        <v>12</v>
      </c>
      <c r="F22" s="1" t="str">
        <f>_xlfn.CONCAT(LEFT(Table1[[#This Row],[Gender]],1),Table1[[#This Row],[Age]])</f>
        <v>F58</v>
      </c>
      <c r="G22" s="1" t="s">
        <v>13</v>
      </c>
      <c r="H22" s="1">
        <f>LEN(Table1[[#This Row],[Chest_Pain_Type]])</f>
        <v>11</v>
      </c>
      <c r="I22" s="1">
        <v>169</v>
      </c>
      <c r="J22" s="1" t="str" cm="1">
        <f t="array" ref="J2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2" s="1">
        <v>336</v>
      </c>
      <c r="L22" s="1" t="s">
        <v>14</v>
      </c>
      <c r="M22" s="1" t="str">
        <f>IF(Table1[[#This Row],[Fasting_Blood_Sugar]]="Yes","Diabetic Risk","Normal")</f>
        <v>Normal</v>
      </c>
      <c r="N22" s="1" t="s">
        <v>20</v>
      </c>
      <c r="O22" s="1">
        <v>177</v>
      </c>
      <c r="P22" s="1" t="s">
        <v>14</v>
      </c>
      <c r="Q22" s="4" t="s">
        <v>14</v>
      </c>
      <c r="R22" s="1" t="str" cm="1">
        <f t="array" ref="R2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2" s="1">
        <f>IFERROR(Table1[[#This Row],[Cholesterol]]/Table1[[#This Row],[Max_Heart_Rate]],"")</f>
        <v>1.8983050847457628</v>
      </c>
    </row>
    <row r="23" spans="1:19">
      <c r="A23" s="3" t="s">
        <v>43</v>
      </c>
      <c r="B23" s="3" t="str">
        <f>RIGHT(Table1[[#This Row],[Patient_ID]],4)</f>
        <v>1021</v>
      </c>
      <c r="C23" s="1">
        <v>66</v>
      </c>
      <c r="D23" s="1" t="str">
        <f>VLOOKUP(Table1[[#This Row],[Age]],'Lookup &amp; Reference'!$G$2:$H$5,2,1)</f>
        <v>High</v>
      </c>
      <c r="E23" s="1" t="s">
        <v>18</v>
      </c>
      <c r="F23" s="1" t="str">
        <f>_xlfn.CONCAT(LEFT(Table1[[#This Row],[Gender]],1),Table1[[#This Row],[Age]])</f>
        <v>M66</v>
      </c>
      <c r="G23" s="1" t="s">
        <v>22</v>
      </c>
      <c r="H23" s="1">
        <f>LEN(Table1[[#This Row],[Chest_Pain_Type]])</f>
        <v>15</v>
      </c>
      <c r="I23" s="1">
        <v>159</v>
      </c>
      <c r="J23" s="1" t="str" cm="1">
        <f t="array" ref="J2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" s="1">
        <v>203</v>
      </c>
      <c r="L23" s="1" t="s">
        <v>16</v>
      </c>
      <c r="M23" s="1" t="str">
        <f>IF(Table1[[#This Row],[Fasting_Blood_Sugar]]="Yes","Diabetic Risk","Normal")</f>
        <v>Diabetic Risk</v>
      </c>
      <c r="N23" s="1" t="s">
        <v>27</v>
      </c>
      <c r="O23" s="1">
        <v>148</v>
      </c>
      <c r="P23" s="1" t="s">
        <v>14</v>
      </c>
      <c r="Q23" s="4" t="s">
        <v>14</v>
      </c>
      <c r="R23" s="1" t="str" cm="1">
        <f t="array" ref="R2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" s="1">
        <f>IFERROR(Table1[[#This Row],[Cholesterol]]/Table1[[#This Row],[Max_Heart_Rate]],"")</f>
        <v>1.3716216216216217</v>
      </c>
    </row>
    <row r="24" spans="1:19">
      <c r="A24" s="3" t="s">
        <v>44</v>
      </c>
      <c r="B24" s="3" t="str">
        <f>RIGHT(Table1[[#This Row],[Patient_ID]],4)</f>
        <v>1022</v>
      </c>
      <c r="C24" s="1">
        <v>30</v>
      </c>
      <c r="D24" s="1" t="str">
        <f>VLOOKUP(Table1[[#This Row],[Age]],'Lookup &amp; Reference'!$G$2:$H$5,2,1)</f>
        <v>Low</v>
      </c>
      <c r="E24" s="1" t="s">
        <v>18</v>
      </c>
      <c r="F24" s="1" t="str">
        <f>_xlfn.CONCAT(LEFT(Table1[[#This Row],[Gender]],1),Table1[[#This Row],[Age]])</f>
        <v>M30</v>
      </c>
      <c r="G24" s="1" t="s">
        <v>25</v>
      </c>
      <c r="H24" s="1">
        <f>LEN(Table1[[#This Row],[Chest_Pain_Type]])</f>
        <v>12</v>
      </c>
      <c r="I24" s="1">
        <v>161</v>
      </c>
      <c r="J24" s="1" t="str" cm="1">
        <f t="array" ref="J2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4" s="1">
        <v>249</v>
      </c>
      <c r="L24" s="1" t="s">
        <v>16</v>
      </c>
      <c r="M24" s="1" t="str">
        <f>IF(Table1[[#This Row],[Fasting_Blood_Sugar]]="Yes","Diabetic Risk","Normal")</f>
        <v>Diabetic Risk</v>
      </c>
      <c r="N24" s="1" t="s">
        <v>15</v>
      </c>
      <c r="O24" s="1">
        <v>156</v>
      </c>
      <c r="P24" s="1" t="s">
        <v>16</v>
      </c>
      <c r="Q24" s="4" t="s">
        <v>16</v>
      </c>
      <c r="R24" s="1" t="str" cm="1">
        <f t="array" ref="R2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4" s="1">
        <f>IFERROR(Table1[[#This Row],[Cholesterol]]/Table1[[#This Row],[Max_Heart_Rate]],"")</f>
        <v>1.5961538461538463</v>
      </c>
    </row>
    <row r="25" spans="1:19">
      <c r="A25" s="3" t="s">
        <v>45</v>
      </c>
      <c r="B25" s="3" t="str">
        <f>RIGHT(Table1[[#This Row],[Patient_ID]],4)</f>
        <v>1023</v>
      </c>
      <c r="C25" s="1">
        <v>49</v>
      </c>
      <c r="D25" s="1" t="str">
        <f>VLOOKUP(Table1[[#This Row],[Age]],'Lookup &amp; Reference'!$G$2:$H$5,2,1)</f>
        <v>Medium</v>
      </c>
      <c r="E25" s="1" t="s">
        <v>18</v>
      </c>
      <c r="F25" s="1" t="str">
        <f>_xlfn.CONCAT(LEFT(Table1[[#This Row],[Gender]],1),Table1[[#This Row],[Age]])</f>
        <v>M49</v>
      </c>
      <c r="G25" s="1" t="s">
        <v>22</v>
      </c>
      <c r="H25" s="1">
        <f>LEN(Table1[[#This Row],[Chest_Pain_Type]])</f>
        <v>15</v>
      </c>
      <c r="I25" s="1">
        <v>114</v>
      </c>
      <c r="J25" s="1" t="str" cm="1">
        <f t="array" ref="J2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5" s="1">
        <v>189</v>
      </c>
      <c r="L25" s="1" t="s">
        <v>14</v>
      </c>
      <c r="M25" s="1" t="str">
        <f>IF(Table1[[#This Row],[Fasting_Blood_Sugar]]="Yes","Diabetic Risk","Normal")</f>
        <v>Normal</v>
      </c>
      <c r="N25" s="1" t="s">
        <v>15</v>
      </c>
      <c r="O25" s="1">
        <v>164</v>
      </c>
      <c r="P25" s="1" t="s">
        <v>16</v>
      </c>
      <c r="Q25" s="4" t="s">
        <v>14</v>
      </c>
      <c r="R25" s="1" t="str" cm="1">
        <f t="array" ref="R2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" s="1">
        <f>IFERROR(Table1[[#This Row],[Cholesterol]]/Table1[[#This Row],[Max_Heart_Rate]],"")</f>
        <v>1.1524390243902438</v>
      </c>
    </row>
    <row r="26" spans="1:19">
      <c r="A26" s="3" t="s">
        <v>46</v>
      </c>
      <c r="B26" s="3" t="str">
        <f>RIGHT(Table1[[#This Row],[Patient_ID]],4)</f>
        <v>1024</v>
      </c>
      <c r="C26" s="1">
        <v>61</v>
      </c>
      <c r="D26" s="1" t="str">
        <f>VLOOKUP(Table1[[#This Row],[Age]],'Lookup &amp; Reference'!$G$2:$H$5,2,1)</f>
        <v>High</v>
      </c>
      <c r="E26" s="1" t="s">
        <v>18</v>
      </c>
      <c r="F26" s="1" t="str">
        <f>_xlfn.CONCAT(LEFT(Table1[[#This Row],[Gender]],1),Table1[[#This Row],[Age]])</f>
        <v>M61</v>
      </c>
      <c r="G26" s="1" t="s">
        <v>19</v>
      </c>
      <c r="H26" s="1">
        <f>LEN(Table1[[#This Row],[Chest_Pain_Type]])</f>
        <v>14</v>
      </c>
      <c r="I26" s="1">
        <v>171</v>
      </c>
      <c r="J26" s="1" t="str" cm="1">
        <f t="array" ref="J2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6" s="1">
        <v>264</v>
      </c>
      <c r="L26" s="1" t="s">
        <v>14</v>
      </c>
      <c r="M26" s="1" t="str">
        <f>IF(Table1[[#This Row],[Fasting_Blood_Sugar]]="Yes","Diabetic Risk","Normal")</f>
        <v>Normal</v>
      </c>
      <c r="N26" s="1" t="s">
        <v>20</v>
      </c>
      <c r="O26" s="1">
        <v>134</v>
      </c>
      <c r="P26" s="1" t="s">
        <v>16</v>
      </c>
      <c r="Q26" s="4" t="s">
        <v>14</v>
      </c>
      <c r="R26" s="1" t="str" cm="1">
        <f t="array" ref="R2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" s="1">
        <f>IFERROR(Table1[[#This Row],[Cholesterol]]/Table1[[#This Row],[Max_Heart_Rate]],"")</f>
        <v>1.9701492537313432</v>
      </c>
    </row>
    <row r="27" spans="1:19">
      <c r="A27" s="3" t="s">
        <v>47</v>
      </c>
      <c r="B27" s="3" t="str">
        <f>RIGHT(Table1[[#This Row],[Patient_ID]],4)</f>
        <v>1025</v>
      </c>
      <c r="C27" s="1">
        <v>40</v>
      </c>
      <c r="D27" s="1" t="str">
        <f>VLOOKUP(Table1[[#This Row],[Age]],'Lookup &amp; Reference'!$G$2:$H$5,2,1)</f>
        <v>Low</v>
      </c>
      <c r="E27" s="1" t="s">
        <v>12</v>
      </c>
      <c r="F27" s="1" t="str">
        <f>_xlfn.CONCAT(LEFT(Table1[[#This Row],[Gender]],1),Table1[[#This Row],[Age]])</f>
        <v>F40</v>
      </c>
      <c r="G27" s="1" t="s">
        <v>25</v>
      </c>
      <c r="H27" s="1">
        <f>LEN(Table1[[#This Row],[Chest_Pain_Type]])</f>
        <v>12</v>
      </c>
      <c r="I27" s="1">
        <v>178</v>
      </c>
      <c r="J27" s="1" t="str" cm="1">
        <f t="array" ref="J2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7" s="1">
        <v>242</v>
      </c>
      <c r="L27" s="1" t="s">
        <v>14</v>
      </c>
      <c r="M27" s="1" t="str">
        <f>IF(Table1[[#This Row],[Fasting_Blood_Sugar]]="Yes","Diabetic Risk","Normal")</f>
        <v>Normal</v>
      </c>
      <c r="N27" s="1" t="s">
        <v>15</v>
      </c>
      <c r="O27" s="1">
        <v>93</v>
      </c>
      <c r="P27" s="1" t="s">
        <v>14</v>
      </c>
      <c r="Q27" s="4" t="s">
        <v>16</v>
      </c>
      <c r="R27" s="1" t="str" cm="1">
        <f t="array" ref="R2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" s="1">
        <f>IFERROR(Table1[[#This Row],[Cholesterol]]/Table1[[#This Row],[Max_Heart_Rate]],"")</f>
        <v>2.6021505376344085</v>
      </c>
    </row>
    <row r="28" spans="1:19">
      <c r="A28" s="3" t="s">
        <v>48</v>
      </c>
      <c r="B28" s="3" t="str">
        <f>RIGHT(Table1[[#This Row],[Patient_ID]],4)</f>
        <v>1026</v>
      </c>
      <c r="C28" s="1">
        <v>50</v>
      </c>
      <c r="D28" s="1" t="str">
        <f>VLOOKUP(Table1[[#This Row],[Age]],'Lookup &amp; Reference'!$G$2:$H$5,2,1)</f>
        <v>Medium</v>
      </c>
      <c r="E28" s="1" t="s">
        <v>12</v>
      </c>
      <c r="F28" s="1" t="str">
        <f>_xlfn.CONCAT(LEFT(Table1[[#This Row],[Gender]],1),Table1[[#This Row],[Age]])</f>
        <v>F50</v>
      </c>
      <c r="G28" s="1" t="s">
        <v>22</v>
      </c>
      <c r="H28" s="1">
        <f>LEN(Table1[[#This Row],[Chest_Pain_Type]])</f>
        <v>15</v>
      </c>
      <c r="I28" s="1">
        <v>101</v>
      </c>
      <c r="J28" s="1" t="str" cm="1">
        <f t="array" ref="J2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8" s="1">
        <v>208</v>
      </c>
      <c r="L28" s="1" t="s">
        <v>16</v>
      </c>
      <c r="M28" s="1" t="str">
        <f>IF(Table1[[#This Row],[Fasting_Blood_Sugar]]="Yes","Diabetic Risk","Normal")</f>
        <v>Diabetic Risk</v>
      </c>
      <c r="N28" s="1" t="s">
        <v>27</v>
      </c>
      <c r="O28" s="1">
        <v>115</v>
      </c>
      <c r="P28" s="1" t="s">
        <v>14</v>
      </c>
      <c r="Q28" s="4" t="s">
        <v>14</v>
      </c>
      <c r="R28" s="1" t="str" cm="1">
        <f t="array" ref="R2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" s="1">
        <f>IFERROR(Table1[[#This Row],[Cholesterol]]/Table1[[#This Row],[Max_Heart_Rate]],"")</f>
        <v>1.808695652173913</v>
      </c>
    </row>
    <row r="29" spans="1:19">
      <c r="A29" s="3" t="s">
        <v>49</v>
      </c>
      <c r="B29" s="3" t="str">
        <f>RIGHT(Table1[[#This Row],[Patient_ID]],4)</f>
        <v>1027</v>
      </c>
      <c r="C29" s="1">
        <v>72</v>
      </c>
      <c r="D29" s="1" t="str">
        <f>VLOOKUP(Table1[[#This Row],[Age]],'Lookup &amp; Reference'!$G$2:$H$5,2,1)</f>
        <v>High</v>
      </c>
      <c r="E29" s="1" t="s">
        <v>18</v>
      </c>
      <c r="F29" s="1" t="str">
        <f>_xlfn.CONCAT(LEFT(Table1[[#This Row],[Gender]],1),Table1[[#This Row],[Age]])</f>
        <v>M72</v>
      </c>
      <c r="G29" s="1" t="s">
        <v>25</v>
      </c>
      <c r="H29" s="1">
        <f>LEN(Table1[[#This Row],[Chest_Pain_Type]])</f>
        <v>12</v>
      </c>
      <c r="I29" s="1">
        <v>104</v>
      </c>
      <c r="J29" s="1" t="str" cm="1">
        <f t="array" ref="J2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9" s="1">
        <v>147</v>
      </c>
      <c r="L29" s="1" t="s">
        <v>16</v>
      </c>
      <c r="M29" s="1" t="str">
        <f>IF(Table1[[#This Row],[Fasting_Blood_Sugar]]="Yes","Diabetic Risk","Normal")</f>
        <v>Diabetic Risk</v>
      </c>
      <c r="N29" s="1" t="s">
        <v>27</v>
      </c>
      <c r="O29" s="1">
        <v>116</v>
      </c>
      <c r="P29" s="1" t="s">
        <v>14</v>
      </c>
      <c r="Q29" s="4" t="s">
        <v>16</v>
      </c>
      <c r="R29" s="1" t="str" cm="1">
        <f t="array" ref="R2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9" s="1">
        <f>IFERROR(Table1[[#This Row],[Cholesterol]]/Table1[[#This Row],[Max_Heart_Rate]],"")</f>
        <v>1.2672413793103448</v>
      </c>
    </row>
    <row r="30" spans="1:19">
      <c r="A30" s="3" t="s">
        <v>50</v>
      </c>
      <c r="B30" s="3" t="str">
        <f>RIGHT(Table1[[#This Row],[Patient_ID]],4)</f>
        <v>1028</v>
      </c>
      <c r="C30" s="1">
        <v>53</v>
      </c>
      <c r="D30" s="1" t="str">
        <f>VLOOKUP(Table1[[#This Row],[Age]],'Lookup &amp; Reference'!$G$2:$H$5,2,1)</f>
        <v>Medium</v>
      </c>
      <c r="E30" s="1" t="s">
        <v>18</v>
      </c>
      <c r="F30" s="1" t="str">
        <f>_xlfn.CONCAT(LEFT(Table1[[#This Row],[Gender]],1),Table1[[#This Row],[Age]])</f>
        <v>M53</v>
      </c>
      <c r="G30" s="1" t="s">
        <v>19</v>
      </c>
      <c r="H30" s="1">
        <f>LEN(Table1[[#This Row],[Chest_Pain_Type]])</f>
        <v>14</v>
      </c>
      <c r="I30" s="1">
        <v>148</v>
      </c>
      <c r="J30" s="1" t="str" cm="1">
        <f t="array" ref="J3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" s="1">
        <v>185</v>
      </c>
      <c r="L30" s="1" t="s">
        <v>16</v>
      </c>
      <c r="M30" s="1" t="str">
        <f>IF(Table1[[#This Row],[Fasting_Blood_Sugar]]="Yes","Diabetic Risk","Normal")</f>
        <v>Diabetic Risk</v>
      </c>
      <c r="N30" s="1" t="s">
        <v>20</v>
      </c>
      <c r="O30" s="1">
        <v>135</v>
      </c>
      <c r="P30" s="1" t="s">
        <v>14</v>
      </c>
      <c r="Q30" s="4" t="s">
        <v>16</v>
      </c>
      <c r="R30" s="1" t="str" cm="1">
        <f t="array" ref="R3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0" s="1">
        <f>IFERROR(Table1[[#This Row],[Cholesterol]]/Table1[[#This Row],[Max_Heart_Rate]],"")</f>
        <v>1.3703703703703705</v>
      </c>
    </row>
    <row r="31" spans="1:19">
      <c r="A31" s="3" t="s">
        <v>51</v>
      </c>
      <c r="B31" s="3" t="str">
        <f>RIGHT(Table1[[#This Row],[Patient_ID]],4)</f>
        <v>1029</v>
      </c>
      <c r="C31" s="1">
        <v>77</v>
      </c>
      <c r="D31" s="1" t="str">
        <f>VLOOKUP(Table1[[#This Row],[Age]],'Lookup &amp; Reference'!$G$2:$H$5,2,1)</f>
        <v>High</v>
      </c>
      <c r="E31" s="1" t="s">
        <v>18</v>
      </c>
      <c r="F31" s="1" t="str">
        <f>_xlfn.CONCAT(LEFT(Table1[[#This Row],[Gender]],1),Table1[[#This Row],[Age]])</f>
        <v>M77</v>
      </c>
      <c r="G31" s="1" t="s">
        <v>13</v>
      </c>
      <c r="H31" s="1">
        <f>LEN(Table1[[#This Row],[Chest_Pain_Type]])</f>
        <v>11</v>
      </c>
      <c r="I31" s="1">
        <v>115</v>
      </c>
      <c r="J31" s="1" t="str" cm="1">
        <f t="array" ref="J3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1" s="1">
        <v>282</v>
      </c>
      <c r="L31" s="1" t="s">
        <v>16</v>
      </c>
      <c r="M31" s="1" t="str">
        <f>IF(Table1[[#This Row],[Fasting_Blood_Sugar]]="Yes","Diabetic Risk","Normal")</f>
        <v>Diabetic Risk</v>
      </c>
      <c r="N31" s="1" t="s">
        <v>27</v>
      </c>
      <c r="O31" s="1">
        <v>207</v>
      </c>
      <c r="P31" s="1" t="s">
        <v>16</v>
      </c>
      <c r="Q31" s="4" t="s">
        <v>14</v>
      </c>
      <c r="R31" s="1" t="str" cm="1">
        <f t="array" ref="R3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1" s="1">
        <f>IFERROR(Table1[[#This Row],[Cholesterol]]/Table1[[#This Row],[Max_Heart_Rate]],"")</f>
        <v>1.3623188405797102</v>
      </c>
    </row>
    <row r="32" spans="1:19">
      <c r="A32" s="3" t="s">
        <v>52</v>
      </c>
      <c r="B32" s="3" t="str">
        <f>RIGHT(Table1[[#This Row],[Patient_ID]],4)</f>
        <v>1030</v>
      </c>
      <c r="C32" s="1">
        <v>55</v>
      </c>
      <c r="D32" s="1" t="str">
        <f>VLOOKUP(Table1[[#This Row],[Age]],'Lookup &amp; Reference'!$G$2:$H$5,2,1)</f>
        <v>Medium</v>
      </c>
      <c r="E32" s="1" t="s">
        <v>12</v>
      </c>
      <c r="F32" s="1" t="str">
        <f>_xlfn.CONCAT(LEFT(Table1[[#This Row],[Gender]],1),Table1[[#This Row],[Age]])</f>
        <v>F55</v>
      </c>
      <c r="G32" s="1" t="s">
        <v>19</v>
      </c>
      <c r="H32" s="1">
        <f>LEN(Table1[[#This Row],[Chest_Pain_Type]])</f>
        <v>14</v>
      </c>
      <c r="I32" s="1">
        <v>115</v>
      </c>
      <c r="J32" s="1" t="str" cm="1">
        <f t="array" ref="J3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2" s="1">
        <v>348</v>
      </c>
      <c r="L32" s="1" t="s">
        <v>16</v>
      </c>
      <c r="M32" s="1" t="str">
        <f>IF(Table1[[#This Row],[Fasting_Blood_Sugar]]="Yes","Diabetic Risk","Normal")</f>
        <v>Diabetic Risk</v>
      </c>
      <c r="N32" s="1" t="s">
        <v>27</v>
      </c>
      <c r="O32" s="1">
        <v>196</v>
      </c>
      <c r="P32" s="1" t="s">
        <v>16</v>
      </c>
      <c r="Q32" s="4" t="s">
        <v>14</v>
      </c>
      <c r="R32" s="1" t="str" cm="1">
        <f t="array" ref="R3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" s="1">
        <f>IFERROR(Table1[[#This Row],[Cholesterol]]/Table1[[#This Row],[Max_Heart_Rate]],"")</f>
        <v>1.7755102040816326</v>
      </c>
    </row>
    <row r="33" spans="1:19">
      <c r="A33" s="3" t="s">
        <v>53</v>
      </c>
      <c r="B33" s="3" t="str">
        <f>RIGHT(Table1[[#This Row],[Patient_ID]],4)</f>
        <v>1031</v>
      </c>
      <c r="C33" s="1">
        <v>70</v>
      </c>
      <c r="D33" s="1" t="str">
        <f>VLOOKUP(Table1[[#This Row],[Age]],'Lookup &amp; Reference'!$G$2:$H$5,2,1)</f>
        <v>High</v>
      </c>
      <c r="E33" s="1" t="s">
        <v>18</v>
      </c>
      <c r="F33" s="1" t="str">
        <f>_xlfn.CONCAT(LEFT(Table1[[#This Row],[Gender]],1),Table1[[#This Row],[Age]])</f>
        <v>M70</v>
      </c>
      <c r="G33" s="1" t="s">
        <v>19</v>
      </c>
      <c r="H33" s="1">
        <f>LEN(Table1[[#This Row],[Chest_Pain_Type]])</f>
        <v>14</v>
      </c>
      <c r="I33" s="1">
        <v>136</v>
      </c>
      <c r="J33" s="1" t="str" cm="1">
        <f t="array" ref="J3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3" s="1">
        <v>124</v>
      </c>
      <c r="L33" s="1" t="s">
        <v>16</v>
      </c>
      <c r="M33" s="1" t="str">
        <f>IF(Table1[[#This Row],[Fasting_Blood_Sugar]]="Yes","Diabetic Risk","Normal")</f>
        <v>Diabetic Risk</v>
      </c>
      <c r="N33" s="1" t="s">
        <v>20</v>
      </c>
      <c r="O33" s="1">
        <v>153</v>
      </c>
      <c r="P33" s="1" t="s">
        <v>14</v>
      </c>
      <c r="Q33" s="4" t="s">
        <v>14</v>
      </c>
      <c r="R33" s="1" t="str" cm="1">
        <f t="array" ref="R3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" s="1">
        <f>IFERROR(Table1[[#This Row],[Cholesterol]]/Table1[[#This Row],[Max_Heart_Rate]],"")</f>
        <v>0.81045751633986929</v>
      </c>
    </row>
    <row r="34" spans="1:19">
      <c r="A34" s="3" t="s">
        <v>54</v>
      </c>
      <c r="B34" s="3" t="str">
        <f>RIGHT(Table1[[#This Row],[Patient_ID]],4)</f>
        <v>1032</v>
      </c>
      <c r="C34" s="1">
        <v>56</v>
      </c>
      <c r="D34" s="1" t="str">
        <f>VLOOKUP(Table1[[#This Row],[Age]],'Lookup &amp; Reference'!$G$2:$H$5,2,1)</f>
        <v>Medium</v>
      </c>
      <c r="E34" s="1" t="s">
        <v>18</v>
      </c>
      <c r="F34" s="1" t="str">
        <f>_xlfn.CONCAT(LEFT(Table1[[#This Row],[Gender]],1),Table1[[#This Row],[Age]])</f>
        <v>M56</v>
      </c>
      <c r="G34" s="1" t="s">
        <v>19</v>
      </c>
      <c r="H34" s="1">
        <f>LEN(Table1[[#This Row],[Chest_Pain_Type]])</f>
        <v>14</v>
      </c>
      <c r="I34" s="1">
        <v>121</v>
      </c>
      <c r="J34" s="1" t="str" cm="1">
        <f t="array" ref="J3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4" s="1">
        <v>312</v>
      </c>
      <c r="L34" s="1" t="s">
        <v>14</v>
      </c>
      <c r="M34" s="1" t="str">
        <f>IF(Table1[[#This Row],[Fasting_Blood_Sugar]]="Yes","Diabetic Risk","Normal")</f>
        <v>Normal</v>
      </c>
      <c r="N34" s="1" t="s">
        <v>27</v>
      </c>
      <c r="O34" s="1">
        <v>180</v>
      </c>
      <c r="P34" s="1" t="s">
        <v>14</v>
      </c>
      <c r="Q34" s="4" t="s">
        <v>16</v>
      </c>
      <c r="R34" s="1" t="str" cm="1">
        <f t="array" ref="R3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4" s="1">
        <f>IFERROR(Table1[[#This Row],[Cholesterol]]/Table1[[#This Row],[Max_Heart_Rate]],"")</f>
        <v>1.7333333333333334</v>
      </c>
    </row>
    <row r="35" spans="1:19">
      <c r="A35" s="3" t="s">
        <v>55</v>
      </c>
      <c r="B35" s="3" t="str">
        <f>RIGHT(Table1[[#This Row],[Patient_ID]],4)</f>
        <v>1033</v>
      </c>
      <c r="C35" s="1">
        <v>44</v>
      </c>
      <c r="D35" s="1" t="str">
        <f>VLOOKUP(Table1[[#This Row],[Age]],'Lookup &amp; Reference'!$G$2:$H$5,2,1)</f>
        <v>Low</v>
      </c>
      <c r="E35" s="1" t="s">
        <v>12</v>
      </c>
      <c r="F35" s="1" t="str">
        <f>_xlfn.CONCAT(LEFT(Table1[[#This Row],[Gender]],1),Table1[[#This Row],[Age]])</f>
        <v>F44</v>
      </c>
      <c r="G35" s="1" t="s">
        <v>19</v>
      </c>
      <c r="H35" s="1">
        <f>LEN(Table1[[#This Row],[Chest_Pain_Type]])</f>
        <v>14</v>
      </c>
      <c r="I35" s="1">
        <v>99</v>
      </c>
      <c r="J35" s="1" t="str" cm="1">
        <f t="array" ref="J3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5" s="1">
        <v>287</v>
      </c>
      <c r="L35" s="1" t="s">
        <v>14</v>
      </c>
      <c r="M35" s="1" t="str">
        <f>IF(Table1[[#This Row],[Fasting_Blood_Sugar]]="Yes","Diabetic Risk","Normal")</f>
        <v>Normal</v>
      </c>
      <c r="N35" s="1" t="s">
        <v>27</v>
      </c>
      <c r="O35" s="1">
        <v>195</v>
      </c>
      <c r="P35" s="1" t="s">
        <v>14</v>
      </c>
      <c r="Q35" s="4" t="s">
        <v>14</v>
      </c>
      <c r="R35" s="1" t="str" cm="1">
        <f t="array" ref="R3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5" s="1">
        <f>IFERROR(Table1[[#This Row],[Cholesterol]]/Table1[[#This Row],[Max_Heart_Rate]],"")</f>
        <v>1.4717948717948719</v>
      </c>
    </row>
    <row r="36" spans="1:19">
      <c r="A36" s="3" t="s">
        <v>56</v>
      </c>
      <c r="B36" s="3" t="str">
        <f>RIGHT(Table1[[#This Row],[Patient_ID]],4)</f>
        <v>1034</v>
      </c>
      <c r="C36" s="1">
        <v>43</v>
      </c>
      <c r="D36" s="1" t="str">
        <f>VLOOKUP(Table1[[#This Row],[Age]],'Lookup &amp; Reference'!$G$2:$H$5,2,1)</f>
        <v>Low</v>
      </c>
      <c r="E36" s="1" t="s">
        <v>12</v>
      </c>
      <c r="F36" s="1" t="str">
        <f>_xlfn.CONCAT(LEFT(Table1[[#This Row],[Gender]],1),Table1[[#This Row],[Age]])</f>
        <v>F43</v>
      </c>
      <c r="G36" s="1" t="s">
        <v>13</v>
      </c>
      <c r="H36" s="1">
        <f>LEN(Table1[[#This Row],[Chest_Pain_Type]])</f>
        <v>11</v>
      </c>
      <c r="I36" s="1">
        <v>105</v>
      </c>
      <c r="J36" s="1" t="str" cm="1">
        <f t="array" ref="J3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6" s="1">
        <v>323</v>
      </c>
      <c r="L36" s="1" t="s">
        <v>16</v>
      </c>
      <c r="M36" s="1" t="str">
        <f>IF(Table1[[#This Row],[Fasting_Blood_Sugar]]="Yes","Diabetic Risk","Normal")</f>
        <v>Diabetic Risk</v>
      </c>
      <c r="N36" s="1" t="s">
        <v>27</v>
      </c>
      <c r="O36" s="1">
        <v>140</v>
      </c>
      <c r="P36" s="1" t="s">
        <v>16</v>
      </c>
      <c r="Q36" s="4" t="s">
        <v>16</v>
      </c>
      <c r="R36" s="1" t="str" cm="1">
        <f t="array" ref="R3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6" s="1">
        <f>IFERROR(Table1[[#This Row],[Cholesterol]]/Table1[[#This Row],[Max_Heart_Rate]],"")</f>
        <v>2.3071428571428569</v>
      </c>
    </row>
    <row r="37" spans="1:19">
      <c r="A37" s="3" t="s">
        <v>57</v>
      </c>
      <c r="B37" s="3" t="str">
        <f>RIGHT(Table1[[#This Row],[Patient_ID]],4)</f>
        <v>1035</v>
      </c>
      <c r="C37" s="1">
        <v>75</v>
      </c>
      <c r="D37" s="1" t="str">
        <f>VLOOKUP(Table1[[#This Row],[Age]],'Lookup &amp; Reference'!$G$2:$H$5,2,1)</f>
        <v>High</v>
      </c>
      <c r="E37" s="1" t="s">
        <v>18</v>
      </c>
      <c r="F37" s="1" t="str">
        <f>_xlfn.CONCAT(LEFT(Table1[[#This Row],[Gender]],1),Table1[[#This Row],[Age]])</f>
        <v>M75</v>
      </c>
      <c r="G37" s="1" t="s">
        <v>13</v>
      </c>
      <c r="H37" s="1">
        <f>LEN(Table1[[#This Row],[Chest_Pain_Type]])</f>
        <v>11</v>
      </c>
      <c r="I37" s="1">
        <v>160</v>
      </c>
      <c r="J37" s="1" t="str" cm="1">
        <f t="array" ref="J3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7" s="1">
        <v>303</v>
      </c>
      <c r="L37" s="1" t="s">
        <v>14</v>
      </c>
      <c r="M37" s="1" t="str">
        <f>IF(Table1[[#This Row],[Fasting_Blood_Sugar]]="Yes","Diabetic Risk","Normal")</f>
        <v>Normal</v>
      </c>
      <c r="N37" s="1" t="s">
        <v>15</v>
      </c>
      <c r="O37" s="1">
        <v>139</v>
      </c>
      <c r="P37" s="1" t="s">
        <v>16</v>
      </c>
      <c r="Q37" s="4" t="s">
        <v>14</v>
      </c>
      <c r="R37" s="1" t="str" cm="1">
        <f t="array" ref="R3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7" s="1">
        <f>IFERROR(Table1[[#This Row],[Cholesterol]]/Table1[[#This Row],[Max_Heart_Rate]],"")</f>
        <v>2.1798561151079139</v>
      </c>
    </row>
    <row r="38" spans="1:19">
      <c r="A38" s="3" t="s">
        <v>58</v>
      </c>
      <c r="B38" s="3" t="str">
        <f>RIGHT(Table1[[#This Row],[Patient_ID]],4)</f>
        <v>1036</v>
      </c>
      <c r="C38" s="1">
        <v>79</v>
      </c>
      <c r="D38" s="1" t="str">
        <f>VLOOKUP(Table1[[#This Row],[Age]],'Lookup &amp; Reference'!$G$2:$H$5,2,1)</f>
        <v>High</v>
      </c>
      <c r="E38" s="1" t="s">
        <v>12</v>
      </c>
      <c r="F38" s="1" t="str">
        <f>_xlfn.CONCAT(LEFT(Table1[[#This Row],[Gender]],1),Table1[[#This Row],[Age]])</f>
        <v>F79</v>
      </c>
      <c r="G38" s="1" t="s">
        <v>25</v>
      </c>
      <c r="H38" s="1">
        <f>LEN(Table1[[#This Row],[Chest_Pain_Type]])</f>
        <v>12</v>
      </c>
      <c r="I38" s="1">
        <v>106</v>
      </c>
      <c r="J38" s="1" t="str" cm="1">
        <f t="array" ref="J3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8" s="1">
        <v>283</v>
      </c>
      <c r="L38" s="1" t="s">
        <v>14</v>
      </c>
      <c r="M38" s="1" t="str">
        <f>IF(Table1[[#This Row],[Fasting_Blood_Sugar]]="Yes","Diabetic Risk","Normal")</f>
        <v>Normal</v>
      </c>
      <c r="N38" s="1" t="s">
        <v>20</v>
      </c>
      <c r="O38" s="1">
        <v>95</v>
      </c>
      <c r="P38" s="1" t="s">
        <v>16</v>
      </c>
      <c r="Q38" s="4" t="s">
        <v>14</v>
      </c>
      <c r="R38" s="1" t="str" cm="1">
        <f t="array" ref="R3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8" s="1">
        <f>IFERROR(Table1[[#This Row],[Cholesterol]]/Table1[[#This Row],[Max_Heart_Rate]],"")</f>
        <v>2.9789473684210526</v>
      </c>
    </row>
    <row r="39" spans="1:19">
      <c r="A39" s="3" t="s">
        <v>59</v>
      </c>
      <c r="B39" s="3" t="str">
        <f>RIGHT(Table1[[#This Row],[Patient_ID]],4)</f>
        <v>1037</v>
      </c>
      <c r="C39" s="1">
        <v>72</v>
      </c>
      <c r="D39" s="1" t="str">
        <f>VLOOKUP(Table1[[#This Row],[Age]],'Lookup &amp; Reference'!$G$2:$H$5,2,1)</f>
        <v>High</v>
      </c>
      <c r="E39" s="1" t="s">
        <v>12</v>
      </c>
      <c r="F39" s="1" t="str">
        <f>_xlfn.CONCAT(LEFT(Table1[[#This Row],[Gender]],1),Table1[[#This Row],[Age]])</f>
        <v>F72</v>
      </c>
      <c r="G39" s="1" t="s">
        <v>22</v>
      </c>
      <c r="H39" s="1">
        <f>LEN(Table1[[#This Row],[Chest_Pain_Type]])</f>
        <v>15</v>
      </c>
      <c r="I39" s="1">
        <v>112</v>
      </c>
      <c r="J39" s="1" t="str" cm="1">
        <f t="array" ref="J3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9" s="1">
        <v>164</v>
      </c>
      <c r="L39" s="1" t="s">
        <v>16</v>
      </c>
      <c r="M39" s="1" t="str">
        <f>IF(Table1[[#This Row],[Fasting_Blood_Sugar]]="Yes","Diabetic Risk","Normal")</f>
        <v>Diabetic Risk</v>
      </c>
      <c r="N39" s="1" t="s">
        <v>20</v>
      </c>
      <c r="O39" s="1">
        <v>148</v>
      </c>
      <c r="P39" s="1" t="s">
        <v>14</v>
      </c>
      <c r="Q39" s="4" t="s">
        <v>14</v>
      </c>
      <c r="R39" s="1" t="str" cm="1">
        <f t="array" ref="R3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" s="1">
        <f>IFERROR(Table1[[#This Row],[Cholesterol]]/Table1[[#This Row],[Max_Heart_Rate]],"")</f>
        <v>1.1081081081081081</v>
      </c>
    </row>
    <row r="40" spans="1:19">
      <c r="A40" s="3" t="s">
        <v>60</v>
      </c>
      <c r="B40" s="3" t="str">
        <f>RIGHT(Table1[[#This Row],[Patient_ID]],4)</f>
        <v>1038</v>
      </c>
      <c r="C40" s="1">
        <v>31</v>
      </c>
      <c r="D40" s="1" t="str">
        <f>VLOOKUP(Table1[[#This Row],[Age]],'Lookup &amp; Reference'!$G$2:$H$5,2,1)</f>
        <v>Low</v>
      </c>
      <c r="E40" s="1" t="s">
        <v>18</v>
      </c>
      <c r="F40" s="1" t="str">
        <f>_xlfn.CONCAT(LEFT(Table1[[#This Row],[Gender]],1),Table1[[#This Row],[Age]])</f>
        <v>M31</v>
      </c>
      <c r="G40" s="1" t="s">
        <v>13</v>
      </c>
      <c r="H40" s="1">
        <f>LEN(Table1[[#This Row],[Chest_Pain_Type]])</f>
        <v>11</v>
      </c>
      <c r="I40" s="1">
        <v>115</v>
      </c>
      <c r="J40" s="1" t="str" cm="1">
        <f t="array" ref="J4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0" s="1">
        <v>270</v>
      </c>
      <c r="L40" s="1" t="s">
        <v>14</v>
      </c>
      <c r="M40" s="1" t="str">
        <f>IF(Table1[[#This Row],[Fasting_Blood_Sugar]]="Yes","Diabetic Risk","Normal")</f>
        <v>Normal</v>
      </c>
      <c r="N40" s="1" t="s">
        <v>20</v>
      </c>
      <c r="O40" s="1">
        <v>104</v>
      </c>
      <c r="P40" s="1" t="s">
        <v>14</v>
      </c>
      <c r="Q40" s="4" t="s">
        <v>16</v>
      </c>
      <c r="R40" s="1" t="str" cm="1">
        <f t="array" ref="R4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" s="1">
        <f>IFERROR(Table1[[#This Row],[Cholesterol]]/Table1[[#This Row],[Max_Heart_Rate]],"")</f>
        <v>2.5961538461538463</v>
      </c>
    </row>
    <row r="41" spans="1:19">
      <c r="A41" s="3" t="s">
        <v>61</v>
      </c>
      <c r="B41" s="3" t="str">
        <f>RIGHT(Table1[[#This Row],[Patient_ID]],4)</f>
        <v>1039</v>
      </c>
      <c r="C41" s="1">
        <v>65</v>
      </c>
      <c r="D41" s="1" t="str">
        <f>VLOOKUP(Table1[[#This Row],[Age]],'Lookup &amp; Reference'!$G$2:$H$5,2,1)</f>
        <v>High</v>
      </c>
      <c r="E41" s="1" t="s">
        <v>12</v>
      </c>
      <c r="F41" s="1" t="str">
        <f>_xlfn.CONCAT(LEFT(Table1[[#This Row],[Gender]],1),Table1[[#This Row],[Age]])</f>
        <v>F65</v>
      </c>
      <c r="G41" s="1" t="s">
        <v>13</v>
      </c>
      <c r="H41" s="1">
        <f>LEN(Table1[[#This Row],[Chest_Pain_Type]])</f>
        <v>11</v>
      </c>
      <c r="I41" s="1">
        <v>174</v>
      </c>
      <c r="J41" s="1" t="str" cm="1">
        <f t="array" ref="J4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1" s="1">
        <v>166</v>
      </c>
      <c r="L41" s="1" t="s">
        <v>16</v>
      </c>
      <c r="M41" s="1" t="str">
        <f>IF(Table1[[#This Row],[Fasting_Blood_Sugar]]="Yes","Diabetic Risk","Normal")</f>
        <v>Diabetic Risk</v>
      </c>
      <c r="N41" s="1" t="s">
        <v>15</v>
      </c>
      <c r="O41" s="1">
        <v>206</v>
      </c>
      <c r="P41" s="1" t="s">
        <v>16</v>
      </c>
      <c r="Q41" s="4" t="s">
        <v>14</v>
      </c>
      <c r="R41" s="1" t="str" cm="1">
        <f t="array" ref="R4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" s="1">
        <f>IFERROR(Table1[[#This Row],[Cholesterol]]/Table1[[#This Row],[Max_Heart_Rate]],"")</f>
        <v>0.80582524271844658</v>
      </c>
    </row>
    <row r="42" spans="1:19">
      <c r="A42" s="3" t="s">
        <v>62</v>
      </c>
      <c r="B42" s="3" t="str">
        <f>RIGHT(Table1[[#This Row],[Patient_ID]],4)</f>
        <v>1040</v>
      </c>
      <c r="C42" s="1">
        <v>79</v>
      </c>
      <c r="D42" s="1" t="str">
        <f>VLOOKUP(Table1[[#This Row],[Age]],'Lookup &amp; Reference'!$G$2:$H$5,2,1)</f>
        <v>High</v>
      </c>
      <c r="E42" s="1" t="s">
        <v>18</v>
      </c>
      <c r="F42" s="1" t="str">
        <f>_xlfn.CONCAT(LEFT(Table1[[#This Row],[Gender]],1),Table1[[#This Row],[Age]])</f>
        <v>M79</v>
      </c>
      <c r="G42" s="1" t="s">
        <v>22</v>
      </c>
      <c r="H42" s="1">
        <f>LEN(Table1[[#This Row],[Chest_Pain_Type]])</f>
        <v>15</v>
      </c>
      <c r="I42" s="1">
        <v>175</v>
      </c>
      <c r="J42" s="1" t="str" cm="1">
        <f t="array" ref="J4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2" s="1">
        <v>150</v>
      </c>
      <c r="L42" s="1" t="s">
        <v>16</v>
      </c>
      <c r="M42" s="1" t="str">
        <f>IF(Table1[[#This Row],[Fasting_Blood_Sugar]]="Yes","Diabetic Risk","Normal")</f>
        <v>Diabetic Risk</v>
      </c>
      <c r="N42" s="1" t="s">
        <v>15</v>
      </c>
      <c r="O42" s="1">
        <v>119</v>
      </c>
      <c r="P42" s="1" t="s">
        <v>14</v>
      </c>
      <c r="Q42" s="4" t="s">
        <v>14</v>
      </c>
      <c r="R42" s="1" t="str" cm="1">
        <f t="array" ref="R4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2" s="1">
        <f>IFERROR(Table1[[#This Row],[Cholesterol]]/Table1[[#This Row],[Max_Heart_Rate]],"")</f>
        <v>1.2605042016806722</v>
      </c>
    </row>
    <row r="43" spans="1:19">
      <c r="A43" s="3" t="s">
        <v>63</v>
      </c>
      <c r="B43" s="3" t="str">
        <f>RIGHT(Table1[[#This Row],[Patient_ID]],4)</f>
        <v>1041</v>
      </c>
      <c r="C43" s="1">
        <v>35</v>
      </c>
      <c r="D43" s="1" t="str">
        <f>VLOOKUP(Table1[[#This Row],[Age]],'Lookup &amp; Reference'!$G$2:$H$5,2,1)</f>
        <v>Low</v>
      </c>
      <c r="E43" s="1" t="s">
        <v>12</v>
      </c>
      <c r="F43" s="1" t="str">
        <f>_xlfn.CONCAT(LEFT(Table1[[#This Row],[Gender]],1),Table1[[#This Row],[Age]])</f>
        <v>F35</v>
      </c>
      <c r="G43" s="1" t="s">
        <v>13</v>
      </c>
      <c r="H43" s="1">
        <f>LEN(Table1[[#This Row],[Chest_Pain_Type]])</f>
        <v>11</v>
      </c>
      <c r="I43" s="1">
        <v>96</v>
      </c>
      <c r="J43" s="1" t="str" cm="1">
        <f t="array" ref="J4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3" s="1">
        <v>258</v>
      </c>
      <c r="L43" s="1" t="s">
        <v>14</v>
      </c>
      <c r="M43" s="1" t="str">
        <f>IF(Table1[[#This Row],[Fasting_Blood_Sugar]]="Yes","Diabetic Risk","Normal")</f>
        <v>Normal</v>
      </c>
      <c r="N43" s="1" t="s">
        <v>20</v>
      </c>
      <c r="O43" s="1">
        <v>131</v>
      </c>
      <c r="P43" s="1" t="s">
        <v>16</v>
      </c>
      <c r="Q43" s="4" t="s">
        <v>16</v>
      </c>
      <c r="R43" s="1" t="str" cm="1">
        <f t="array" ref="R4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3" s="1">
        <f>IFERROR(Table1[[#This Row],[Cholesterol]]/Table1[[#This Row],[Max_Heart_Rate]],"")</f>
        <v>1.9694656488549618</v>
      </c>
    </row>
    <row r="44" spans="1:19">
      <c r="A44" s="3" t="s">
        <v>64</v>
      </c>
      <c r="B44" s="3" t="str">
        <f>RIGHT(Table1[[#This Row],[Patient_ID]],4)</f>
        <v>1042</v>
      </c>
      <c r="C44" s="1">
        <v>49</v>
      </c>
      <c r="D44" s="1" t="str">
        <f>VLOOKUP(Table1[[#This Row],[Age]],'Lookup &amp; Reference'!$G$2:$H$5,2,1)</f>
        <v>Medium</v>
      </c>
      <c r="E44" s="1" t="s">
        <v>18</v>
      </c>
      <c r="F44" s="1" t="str">
        <f>_xlfn.CONCAT(LEFT(Table1[[#This Row],[Gender]],1),Table1[[#This Row],[Age]])</f>
        <v>M49</v>
      </c>
      <c r="G44" s="1" t="s">
        <v>19</v>
      </c>
      <c r="H44" s="1">
        <f>LEN(Table1[[#This Row],[Chest_Pain_Type]])</f>
        <v>14</v>
      </c>
      <c r="I44" s="1">
        <v>103</v>
      </c>
      <c r="J44" s="1" t="str" cm="1">
        <f t="array" ref="J4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4" s="1">
        <v>129</v>
      </c>
      <c r="L44" s="1" t="s">
        <v>16</v>
      </c>
      <c r="M44" s="1" t="str">
        <f>IF(Table1[[#This Row],[Fasting_Blood_Sugar]]="Yes","Diabetic Risk","Normal")</f>
        <v>Diabetic Risk</v>
      </c>
      <c r="N44" s="1" t="s">
        <v>15</v>
      </c>
      <c r="O44" s="1">
        <v>190</v>
      </c>
      <c r="P44" s="1" t="s">
        <v>14</v>
      </c>
      <c r="Q44" s="4" t="s">
        <v>16</v>
      </c>
      <c r="R44" s="1" t="str" cm="1">
        <f t="array" ref="R4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4" s="1">
        <f>IFERROR(Table1[[#This Row],[Cholesterol]]/Table1[[#This Row],[Max_Heart_Rate]],"")</f>
        <v>0.67894736842105263</v>
      </c>
    </row>
    <row r="45" spans="1:19">
      <c r="A45" s="3" t="s">
        <v>65</v>
      </c>
      <c r="B45" s="3" t="str">
        <f>RIGHT(Table1[[#This Row],[Patient_ID]],4)</f>
        <v>1043</v>
      </c>
      <c r="C45" s="1">
        <v>37</v>
      </c>
      <c r="D45" s="1" t="str">
        <f>VLOOKUP(Table1[[#This Row],[Age]],'Lookup &amp; Reference'!$G$2:$H$5,2,1)</f>
        <v>Low</v>
      </c>
      <c r="E45" s="1" t="s">
        <v>18</v>
      </c>
      <c r="F45" s="1" t="str">
        <f>_xlfn.CONCAT(LEFT(Table1[[#This Row],[Gender]],1),Table1[[#This Row],[Age]])</f>
        <v>M37</v>
      </c>
      <c r="G45" s="1" t="s">
        <v>19</v>
      </c>
      <c r="H45" s="1">
        <f>LEN(Table1[[#This Row],[Chest_Pain_Type]])</f>
        <v>14</v>
      </c>
      <c r="I45" s="1">
        <v>168</v>
      </c>
      <c r="J45" s="1" t="str" cm="1">
        <f t="array" ref="J4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5" s="1">
        <v>314</v>
      </c>
      <c r="L45" s="1" t="s">
        <v>16</v>
      </c>
      <c r="M45" s="1" t="str">
        <f>IF(Table1[[#This Row],[Fasting_Blood_Sugar]]="Yes","Diabetic Risk","Normal")</f>
        <v>Diabetic Risk</v>
      </c>
      <c r="N45" s="1" t="s">
        <v>20</v>
      </c>
      <c r="O45" s="1">
        <v>126</v>
      </c>
      <c r="P45" s="1" t="s">
        <v>16</v>
      </c>
      <c r="Q45" s="4" t="s">
        <v>14</v>
      </c>
      <c r="R45" s="1" t="str" cm="1">
        <f t="array" ref="R4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" s="1">
        <f>IFERROR(Table1[[#This Row],[Cholesterol]]/Table1[[#This Row],[Max_Heart_Rate]],"")</f>
        <v>2.4920634920634921</v>
      </c>
    </row>
    <row r="46" spans="1:19">
      <c r="A46" s="3" t="s">
        <v>66</v>
      </c>
      <c r="B46" s="3" t="str">
        <f>RIGHT(Table1[[#This Row],[Patient_ID]],4)</f>
        <v>1044</v>
      </c>
      <c r="C46" s="1">
        <v>67</v>
      </c>
      <c r="D46" s="1" t="str">
        <f>VLOOKUP(Table1[[#This Row],[Age]],'Lookup &amp; Reference'!$G$2:$H$5,2,1)</f>
        <v>High</v>
      </c>
      <c r="E46" s="1" t="s">
        <v>18</v>
      </c>
      <c r="F46" s="1" t="str">
        <f>_xlfn.CONCAT(LEFT(Table1[[#This Row],[Gender]],1),Table1[[#This Row],[Age]])</f>
        <v>M67</v>
      </c>
      <c r="G46" s="1" t="s">
        <v>22</v>
      </c>
      <c r="H46" s="1">
        <f>LEN(Table1[[#This Row],[Chest_Pain_Type]])</f>
        <v>15</v>
      </c>
      <c r="I46" s="1">
        <v>96</v>
      </c>
      <c r="J46" s="1" t="str" cm="1">
        <f t="array" ref="J4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6" s="1">
        <v>237</v>
      </c>
      <c r="L46" s="1" t="s">
        <v>16</v>
      </c>
      <c r="M46" s="1" t="str">
        <f>IF(Table1[[#This Row],[Fasting_Blood_Sugar]]="Yes","Diabetic Risk","Normal")</f>
        <v>Diabetic Risk</v>
      </c>
      <c r="N46" s="1" t="s">
        <v>15</v>
      </c>
      <c r="O46" s="1">
        <v>131</v>
      </c>
      <c r="P46" s="1" t="s">
        <v>14</v>
      </c>
      <c r="Q46" s="4" t="s">
        <v>14</v>
      </c>
      <c r="R46" s="1" t="str" cm="1">
        <f t="array" ref="R4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6" s="1">
        <f>IFERROR(Table1[[#This Row],[Cholesterol]]/Table1[[#This Row],[Max_Heart_Rate]],"")</f>
        <v>1.8091603053435115</v>
      </c>
    </row>
    <row r="47" spans="1:19">
      <c r="A47" s="3" t="s">
        <v>67</v>
      </c>
      <c r="B47" s="3" t="str">
        <f>RIGHT(Table1[[#This Row],[Patient_ID]],4)</f>
        <v>1045</v>
      </c>
      <c r="C47" s="1">
        <v>46</v>
      </c>
      <c r="D47" s="1" t="str">
        <f>VLOOKUP(Table1[[#This Row],[Age]],'Lookup &amp; Reference'!$G$2:$H$5,2,1)</f>
        <v>Medium</v>
      </c>
      <c r="E47" s="1" t="s">
        <v>12</v>
      </c>
      <c r="F47" s="1" t="str">
        <f>_xlfn.CONCAT(LEFT(Table1[[#This Row],[Gender]],1),Table1[[#This Row],[Age]])</f>
        <v>F46</v>
      </c>
      <c r="G47" s="1" t="s">
        <v>25</v>
      </c>
      <c r="H47" s="1">
        <f>LEN(Table1[[#This Row],[Chest_Pain_Type]])</f>
        <v>12</v>
      </c>
      <c r="I47" s="1">
        <v>98</v>
      </c>
      <c r="J47" s="1" t="str" cm="1">
        <f t="array" ref="J4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7" s="1">
        <v>133</v>
      </c>
      <c r="L47" s="1" t="s">
        <v>16</v>
      </c>
      <c r="M47" s="1" t="str">
        <f>IF(Table1[[#This Row],[Fasting_Blood_Sugar]]="Yes","Diabetic Risk","Normal")</f>
        <v>Diabetic Risk</v>
      </c>
      <c r="N47" s="1" t="s">
        <v>27</v>
      </c>
      <c r="O47" s="1">
        <v>190</v>
      </c>
      <c r="P47" s="1" t="s">
        <v>16</v>
      </c>
      <c r="Q47" s="4" t="s">
        <v>14</v>
      </c>
      <c r="R47" s="1" t="str" cm="1">
        <f t="array" ref="R4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7" s="1">
        <f>IFERROR(Table1[[#This Row],[Cholesterol]]/Table1[[#This Row],[Max_Heart_Rate]],"")</f>
        <v>0.7</v>
      </c>
    </row>
    <row r="48" spans="1:19">
      <c r="A48" s="3" t="s">
        <v>68</v>
      </c>
      <c r="B48" s="3" t="str">
        <f>RIGHT(Table1[[#This Row],[Patient_ID]],4)</f>
        <v>1046</v>
      </c>
      <c r="C48" s="1">
        <v>32</v>
      </c>
      <c r="D48" s="1" t="str">
        <f>VLOOKUP(Table1[[#This Row],[Age]],'Lookup &amp; Reference'!$G$2:$H$5,2,1)</f>
        <v>Low</v>
      </c>
      <c r="E48" s="1" t="s">
        <v>18</v>
      </c>
      <c r="F48" s="1" t="str">
        <f>_xlfn.CONCAT(LEFT(Table1[[#This Row],[Gender]],1),Table1[[#This Row],[Age]])</f>
        <v>M32</v>
      </c>
      <c r="G48" s="1" t="s">
        <v>25</v>
      </c>
      <c r="H48" s="1">
        <f>LEN(Table1[[#This Row],[Chest_Pain_Type]])</f>
        <v>12</v>
      </c>
      <c r="I48" s="1">
        <v>137</v>
      </c>
      <c r="J48" s="1" t="str" cm="1">
        <f t="array" ref="J4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8" s="1">
        <v>199</v>
      </c>
      <c r="L48" s="1" t="s">
        <v>16</v>
      </c>
      <c r="M48" s="1" t="str">
        <f>IF(Table1[[#This Row],[Fasting_Blood_Sugar]]="Yes","Diabetic Risk","Normal")</f>
        <v>Diabetic Risk</v>
      </c>
      <c r="N48" s="1" t="s">
        <v>27</v>
      </c>
      <c r="O48" s="1">
        <v>124</v>
      </c>
      <c r="P48" s="1" t="s">
        <v>16</v>
      </c>
      <c r="Q48" s="4" t="s">
        <v>16</v>
      </c>
      <c r="R48" s="1" t="str" cm="1">
        <f t="array" ref="R4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8" s="1">
        <f>IFERROR(Table1[[#This Row],[Cholesterol]]/Table1[[#This Row],[Max_Heart_Rate]],"")</f>
        <v>1.6048387096774193</v>
      </c>
    </row>
    <row r="49" spans="1:19">
      <c r="A49" s="3" t="s">
        <v>69</v>
      </c>
      <c r="B49" s="3" t="str">
        <f>RIGHT(Table1[[#This Row],[Patient_ID]],4)</f>
        <v>1047</v>
      </c>
      <c r="C49" s="1">
        <v>53</v>
      </c>
      <c r="D49" s="1" t="str">
        <f>VLOOKUP(Table1[[#This Row],[Age]],'Lookup &amp; Reference'!$G$2:$H$5,2,1)</f>
        <v>Medium</v>
      </c>
      <c r="E49" s="1" t="s">
        <v>12</v>
      </c>
      <c r="F49" s="1" t="str">
        <f>_xlfn.CONCAT(LEFT(Table1[[#This Row],[Gender]],1),Table1[[#This Row],[Age]])</f>
        <v>F53</v>
      </c>
      <c r="G49" s="1" t="s">
        <v>22</v>
      </c>
      <c r="H49" s="1">
        <f>LEN(Table1[[#This Row],[Chest_Pain_Type]])</f>
        <v>15</v>
      </c>
      <c r="I49" s="1">
        <v>161</v>
      </c>
      <c r="J49" s="1" t="str" cm="1">
        <f t="array" ref="J4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9" s="1">
        <v>321</v>
      </c>
      <c r="L49" s="1" t="s">
        <v>16</v>
      </c>
      <c r="M49" s="1" t="str">
        <f>IF(Table1[[#This Row],[Fasting_Blood_Sugar]]="Yes","Diabetic Risk","Normal")</f>
        <v>Diabetic Risk</v>
      </c>
      <c r="N49" s="1" t="s">
        <v>20</v>
      </c>
      <c r="O49" s="1">
        <v>176</v>
      </c>
      <c r="P49" s="1" t="s">
        <v>16</v>
      </c>
      <c r="Q49" s="4" t="s">
        <v>16</v>
      </c>
      <c r="R49" s="1" t="str" cm="1">
        <f t="array" ref="R4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9" s="1">
        <f>IFERROR(Table1[[#This Row],[Cholesterol]]/Table1[[#This Row],[Max_Heart_Rate]],"")</f>
        <v>1.8238636363636365</v>
      </c>
    </row>
    <row r="50" spans="1:19">
      <c r="A50" s="3" t="s">
        <v>70</v>
      </c>
      <c r="B50" s="3" t="str">
        <f>RIGHT(Table1[[#This Row],[Patient_ID]],4)</f>
        <v>1048</v>
      </c>
      <c r="C50" s="1">
        <v>42</v>
      </c>
      <c r="D50" s="1" t="str">
        <f>VLOOKUP(Table1[[#This Row],[Age]],'Lookup &amp; Reference'!$G$2:$H$5,2,1)</f>
        <v>Low</v>
      </c>
      <c r="E50" s="1" t="s">
        <v>18</v>
      </c>
      <c r="F50" s="1" t="str">
        <f>_xlfn.CONCAT(LEFT(Table1[[#This Row],[Gender]],1),Table1[[#This Row],[Age]])</f>
        <v>M42</v>
      </c>
      <c r="G50" s="1" t="s">
        <v>22</v>
      </c>
      <c r="H50" s="1">
        <f>LEN(Table1[[#This Row],[Chest_Pain_Type]])</f>
        <v>15</v>
      </c>
      <c r="I50" s="1">
        <v>148</v>
      </c>
      <c r="J50" s="1" t="str" cm="1">
        <f t="array" ref="J5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0" s="1">
        <v>212</v>
      </c>
      <c r="L50" s="1" t="s">
        <v>16</v>
      </c>
      <c r="M50" s="1" t="str">
        <f>IF(Table1[[#This Row],[Fasting_Blood_Sugar]]="Yes","Diabetic Risk","Normal")</f>
        <v>Diabetic Risk</v>
      </c>
      <c r="N50" s="1" t="s">
        <v>15</v>
      </c>
      <c r="O50" s="1">
        <v>95</v>
      </c>
      <c r="P50" s="1" t="s">
        <v>16</v>
      </c>
      <c r="Q50" s="4" t="s">
        <v>16</v>
      </c>
      <c r="R50" s="1" t="str" cm="1">
        <f t="array" ref="R5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" s="1">
        <f>IFERROR(Table1[[#This Row],[Cholesterol]]/Table1[[#This Row],[Max_Heart_Rate]],"")</f>
        <v>2.2315789473684209</v>
      </c>
    </row>
    <row r="51" spans="1:19">
      <c r="A51" s="3" t="s">
        <v>71</v>
      </c>
      <c r="B51" s="3" t="str">
        <f>RIGHT(Table1[[#This Row],[Patient_ID]],4)</f>
        <v>1049</v>
      </c>
      <c r="C51" s="1">
        <v>78</v>
      </c>
      <c r="D51" s="1" t="str">
        <f>VLOOKUP(Table1[[#This Row],[Age]],'Lookup &amp; Reference'!$G$2:$H$5,2,1)</f>
        <v>High</v>
      </c>
      <c r="E51" s="1" t="s">
        <v>18</v>
      </c>
      <c r="F51" s="1" t="str">
        <f>_xlfn.CONCAT(LEFT(Table1[[#This Row],[Gender]],1),Table1[[#This Row],[Age]])</f>
        <v>M78</v>
      </c>
      <c r="G51" s="1" t="s">
        <v>19</v>
      </c>
      <c r="H51" s="1">
        <f>LEN(Table1[[#This Row],[Chest_Pain_Type]])</f>
        <v>14</v>
      </c>
      <c r="I51" s="1">
        <v>176</v>
      </c>
      <c r="J51" s="1" t="str" cm="1">
        <f t="array" ref="J5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1" s="1">
        <v>129</v>
      </c>
      <c r="L51" s="1" t="s">
        <v>16</v>
      </c>
      <c r="M51" s="1" t="str">
        <f>IF(Table1[[#This Row],[Fasting_Blood_Sugar]]="Yes","Diabetic Risk","Normal")</f>
        <v>Diabetic Risk</v>
      </c>
      <c r="N51" s="1" t="s">
        <v>15</v>
      </c>
      <c r="O51" s="1">
        <v>157</v>
      </c>
      <c r="P51" s="1" t="s">
        <v>16</v>
      </c>
      <c r="Q51" s="4" t="s">
        <v>16</v>
      </c>
      <c r="R51" s="1" t="str" cm="1">
        <f t="array" ref="R5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1" s="1">
        <f>IFERROR(Table1[[#This Row],[Cholesterol]]/Table1[[#This Row],[Max_Heart_Rate]],"")</f>
        <v>0.82165605095541405</v>
      </c>
    </row>
    <row r="52" spans="1:19">
      <c r="A52" s="3" t="s">
        <v>72</v>
      </c>
      <c r="B52" s="3" t="str">
        <f>RIGHT(Table1[[#This Row],[Patient_ID]],4)</f>
        <v>1050</v>
      </c>
      <c r="C52" s="1">
        <v>37</v>
      </c>
      <c r="D52" s="1" t="str">
        <f>VLOOKUP(Table1[[#This Row],[Age]],'Lookup &amp; Reference'!$G$2:$H$5,2,1)</f>
        <v>Low</v>
      </c>
      <c r="E52" s="1" t="s">
        <v>12</v>
      </c>
      <c r="F52" s="1" t="str">
        <f>_xlfn.CONCAT(LEFT(Table1[[#This Row],[Gender]],1),Table1[[#This Row],[Age]])</f>
        <v>F37</v>
      </c>
      <c r="G52" s="1" t="s">
        <v>25</v>
      </c>
      <c r="H52" s="1">
        <f>LEN(Table1[[#This Row],[Chest_Pain_Type]])</f>
        <v>12</v>
      </c>
      <c r="I52" s="1">
        <v>182</v>
      </c>
      <c r="J52" s="1" t="str" cm="1">
        <f t="array" ref="J5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2" s="1">
        <v>195</v>
      </c>
      <c r="L52" s="1" t="s">
        <v>14</v>
      </c>
      <c r="M52" s="1" t="str">
        <f>IF(Table1[[#This Row],[Fasting_Blood_Sugar]]="Yes","Diabetic Risk","Normal")</f>
        <v>Normal</v>
      </c>
      <c r="N52" s="1" t="s">
        <v>27</v>
      </c>
      <c r="O52" s="1">
        <v>107</v>
      </c>
      <c r="P52" s="1" t="s">
        <v>16</v>
      </c>
      <c r="Q52" s="4" t="s">
        <v>14</v>
      </c>
      <c r="R52" s="1" t="str" cm="1">
        <f t="array" ref="R5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" s="1">
        <f>IFERROR(Table1[[#This Row],[Cholesterol]]/Table1[[#This Row],[Max_Heart_Rate]],"")</f>
        <v>1.8224299065420562</v>
      </c>
    </row>
    <row r="53" spans="1:19">
      <c r="A53" s="3" t="s">
        <v>73</v>
      </c>
      <c r="B53" s="3" t="str">
        <f>RIGHT(Table1[[#This Row],[Patient_ID]],4)</f>
        <v>1051</v>
      </c>
      <c r="C53" s="1">
        <v>54</v>
      </c>
      <c r="D53" s="1" t="str">
        <f>VLOOKUP(Table1[[#This Row],[Age]],'Lookup &amp; Reference'!$G$2:$H$5,2,1)</f>
        <v>Medium</v>
      </c>
      <c r="E53" s="1" t="s">
        <v>18</v>
      </c>
      <c r="F53" s="1" t="str">
        <f>_xlfn.CONCAT(LEFT(Table1[[#This Row],[Gender]],1),Table1[[#This Row],[Age]])</f>
        <v>M54</v>
      </c>
      <c r="G53" s="1" t="s">
        <v>13</v>
      </c>
      <c r="H53" s="1">
        <f>LEN(Table1[[#This Row],[Chest_Pain_Type]])</f>
        <v>11</v>
      </c>
      <c r="I53" s="1">
        <v>171</v>
      </c>
      <c r="J53" s="1" t="str" cm="1">
        <f t="array" ref="J5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3" s="1">
        <v>213</v>
      </c>
      <c r="L53" s="1" t="s">
        <v>14</v>
      </c>
      <c r="M53" s="1" t="str">
        <f>IF(Table1[[#This Row],[Fasting_Blood_Sugar]]="Yes","Diabetic Risk","Normal")</f>
        <v>Normal</v>
      </c>
      <c r="N53" s="1" t="s">
        <v>27</v>
      </c>
      <c r="O53" s="1">
        <v>162</v>
      </c>
      <c r="P53" s="1" t="s">
        <v>14</v>
      </c>
      <c r="Q53" s="4" t="s">
        <v>16</v>
      </c>
      <c r="R53" s="1" t="str" cm="1">
        <f t="array" ref="R5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3" s="1">
        <f>IFERROR(Table1[[#This Row],[Cholesterol]]/Table1[[#This Row],[Max_Heart_Rate]],"")</f>
        <v>1.3148148148148149</v>
      </c>
    </row>
    <row r="54" spans="1:19">
      <c r="A54" s="3" t="s">
        <v>74</v>
      </c>
      <c r="B54" s="3" t="str">
        <f>RIGHT(Table1[[#This Row],[Patient_ID]],4)</f>
        <v>1052</v>
      </c>
      <c r="C54" s="1">
        <v>30</v>
      </c>
      <c r="D54" s="1" t="str">
        <f>VLOOKUP(Table1[[#This Row],[Age]],'Lookup &amp; Reference'!$G$2:$H$5,2,1)</f>
        <v>Low</v>
      </c>
      <c r="E54" s="1" t="s">
        <v>18</v>
      </c>
      <c r="F54" s="1" t="str">
        <f>_xlfn.CONCAT(LEFT(Table1[[#This Row],[Gender]],1),Table1[[#This Row],[Age]])</f>
        <v>M30</v>
      </c>
      <c r="G54" s="1" t="s">
        <v>19</v>
      </c>
      <c r="H54" s="1">
        <f>LEN(Table1[[#This Row],[Chest_Pain_Type]])</f>
        <v>14</v>
      </c>
      <c r="I54" s="1">
        <v>184</v>
      </c>
      <c r="J54" s="1" t="str" cm="1">
        <f t="array" ref="J5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4" s="1">
        <v>224</v>
      </c>
      <c r="L54" s="1" t="s">
        <v>14</v>
      </c>
      <c r="M54" s="1" t="str">
        <f>IF(Table1[[#This Row],[Fasting_Blood_Sugar]]="Yes","Diabetic Risk","Normal")</f>
        <v>Normal</v>
      </c>
      <c r="N54" s="1" t="s">
        <v>15</v>
      </c>
      <c r="O54" s="1">
        <v>202</v>
      </c>
      <c r="P54" s="1" t="s">
        <v>14</v>
      </c>
      <c r="Q54" s="4" t="s">
        <v>16</v>
      </c>
      <c r="R54" s="1" t="str" cm="1">
        <f t="array" ref="R5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4" s="1">
        <f>IFERROR(Table1[[#This Row],[Cholesterol]]/Table1[[#This Row],[Max_Heart_Rate]],"")</f>
        <v>1.108910891089109</v>
      </c>
    </row>
    <row r="55" spans="1:19">
      <c r="A55" s="3" t="s">
        <v>75</v>
      </c>
      <c r="B55" s="3" t="str">
        <f>RIGHT(Table1[[#This Row],[Patient_ID]],4)</f>
        <v>1053</v>
      </c>
      <c r="C55" s="1">
        <v>48</v>
      </c>
      <c r="D55" s="1" t="str">
        <f>VLOOKUP(Table1[[#This Row],[Age]],'Lookup &amp; Reference'!$G$2:$H$5,2,1)</f>
        <v>Medium</v>
      </c>
      <c r="E55" s="1" t="s">
        <v>12</v>
      </c>
      <c r="F55" s="1" t="str">
        <f>_xlfn.CONCAT(LEFT(Table1[[#This Row],[Gender]],1),Table1[[#This Row],[Age]])</f>
        <v>F48</v>
      </c>
      <c r="G55" s="1" t="s">
        <v>22</v>
      </c>
      <c r="H55" s="1">
        <f>LEN(Table1[[#This Row],[Chest_Pain_Type]])</f>
        <v>15</v>
      </c>
      <c r="I55" s="1">
        <v>183</v>
      </c>
      <c r="J55" s="1" t="str" cm="1">
        <f t="array" ref="J5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" s="1">
        <v>120</v>
      </c>
      <c r="L55" s="1" t="s">
        <v>16</v>
      </c>
      <c r="M55" s="1" t="str">
        <f>IF(Table1[[#This Row],[Fasting_Blood_Sugar]]="Yes","Diabetic Risk","Normal")</f>
        <v>Diabetic Risk</v>
      </c>
      <c r="N55" s="1" t="s">
        <v>15</v>
      </c>
      <c r="O55" s="1">
        <v>118</v>
      </c>
      <c r="P55" s="1" t="s">
        <v>14</v>
      </c>
      <c r="Q55" s="4" t="s">
        <v>16</v>
      </c>
      <c r="R55" s="1" t="str" cm="1">
        <f t="array" ref="R5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5" s="1">
        <f>IFERROR(Table1[[#This Row],[Cholesterol]]/Table1[[#This Row],[Max_Heart_Rate]],"")</f>
        <v>1.0169491525423728</v>
      </c>
    </row>
    <row r="56" spans="1:19">
      <c r="A56" s="3" t="s">
        <v>76</v>
      </c>
      <c r="B56" s="3" t="str">
        <f>RIGHT(Table1[[#This Row],[Patient_ID]],4)</f>
        <v>1054</v>
      </c>
      <c r="C56" s="1">
        <v>56</v>
      </c>
      <c r="D56" s="1" t="str">
        <f>VLOOKUP(Table1[[#This Row],[Age]],'Lookup &amp; Reference'!$G$2:$H$5,2,1)</f>
        <v>Medium</v>
      </c>
      <c r="E56" s="1" t="s">
        <v>18</v>
      </c>
      <c r="F56" s="1" t="str">
        <f>_xlfn.CONCAT(LEFT(Table1[[#This Row],[Gender]],1),Table1[[#This Row],[Age]])</f>
        <v>M56</v>
      </c>
      <c r="G56" s="1" t="s">
        <v>25</v>
      </c>
      <c r="H56" s="1">
        <f>LEN(Table1[[#This Row],[Chest_Pain_Type]])</f>
        <v>12</v>
      </c>
      <c r="I56" s="1">
        <v>128</v>
      </c>
      <c r="J56" s="1" t="str" cm="1">
        <f t="array" ref="J5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6" s="1">
        <v>252</v>
      </c>
      <c r="L56" s="1" t="s">
        <v>16</v>
      </c>
      <c r="M56" s="1" t="str">
        <f>IF(Table1[[#This Row],[Fasting_Blood_Sugar]]="Yes","Diabetic Risk","Normal")</f>
        <v>Diabetic Risk</v>
      </c>
      <c r="N56" s="1" t="s">
        <v>15</v>
      </c>
      <c r="O56" s="1">
        <v>166</v>
      </c>
      <c r="P56" s="1" t="s">
        <v>16</v>
      </c>
      <c r="Q56" s="4" t="s">
        <v>14</v>
      </c>
      <c r="R56" s="1" t="str" cm="1">
        <f t="array" ref="R5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" s="1">
        <f>IFERROR(Table1[[#This Row],[Cholesterol]]/Table1[[#This Row],[Max_Heart_Rate]],"")</f>
        <v>1.5180722891566265</v>
      </c>
    </row>
    <row r="57" spans="1:19">
      <c r="A57" s="3" t="s">
        <v>77</v>
      </c>
      <c r="B57" s="3" t="str">
        <f>RIGHT(Table1[[#This Row],[Patient_ID]],4)</f>
        <v>1055</v>
      </c>
      <c r="C57" s="1">
        <v>75</v>
      </c>
      <c r="D57" s="1" t="str">
        <f>VLOOKUP(Table1[[#This Row],[Age]],'Lookup &amp; Reference'!$G$2:$H$5,2,1)</f>
        <v>High</v>
      </c>
      <c r="E57" s="1" t="s">
        <v>18</v>
      </c>
      <c r="F57" s="1" t="str">
        <f>_xlfn.CONCAT(LEFT(Table1[[#This Row],[Gender]],1),Table1[[#This Row],[Age]])</f>
        <v>M75</v>
      </c>
      <c r="G57" s="1" t="s">
        <v>13</v>
      </c>
      <c r="H57" s="1">
        <f>LEN(Table1[[#This Row],[Chest_Pain_Type]])</f>
        <v>11</v>
      </c>
      <c r="I57" s="1">
        <v>188</v>
      </c>
      <c r="J57" s="1" t="str" cm="1">
        <f t="array" ref="J5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7" s="1">
        <v>139</v>
      </c>
      <c r="L57" s="1" t="s">
        <v>14</v>
      </c>
      <c r="M57" s="1" t="str">
        <f>IF(Table1[[#This Row],[Fasting_Blood_Sugar]]="Yes","Diabetic Risk","Normal")</f>
        <v>Normal</v>
      </c>
      <c r="N57" s="1" t="s">
        <v>15</v>
      </c>
      <c r="O57" s="1">
        <v>148</v>
      </c>
      <c r="P57" s="1" t="s">
        <v>16</v>
      </c>
      <c r="Q57" s="4" t="s">
        <v>14</v>
      </c>
      <c r="R57" s="1" t="str" cm="1">
        <f t="array" ref="R5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" s="1">
        <f>IFERROR(Table1[[#This Row],[Cholesterol]]/Table1[[#This Row],[Max_Heart_Rate]],"")</f>
        <v>0.93918918918918914</v>
      </c>
    </row>
    <row r="58" spans="1:19">
      <c r="A58" s="3" t="s">
        <v>78</v>
      </c>
      <c r="B58" s="3" t="str">
        <f>RIGHT(Table1[[#This Row],[Patient_ID]],4)</f>
        <v>1056</v>
      </c>
      <c r="C58" s="1">
        <v>35</v>
      </c>
      <c r="D58" s="1" t="str">
        <f>VLOOKUP(Table1[[#This Row],[Age]],'Lookup &amp; Reference'!$G$2:$H$5,2,1)</f>
        <v>Low</v>
      </c>
      <c r="E58" s="1" t="s">
        <v>18</v>
      </c>
      <c r="F58" s="1" t="str">
        <f>_xlfn.CONCAT(LEFT(Table1[[#This Row],[Gender]],1),Table1[[#This Row],[Age]])</f>
        <v>M35</v>
      </c>
      <c r="G58" s="1" t="s">
        <v>13</v>
      </c>
      <c r="H58" s="1">
        <f>LEN(Table1[[#This Row],[Chest_Pain_Type]])</f>
        <v>11</v>
      </c>
      <c r="I58" s="1">
        <v>107</v>
      </c>
      <c r="J58" s="1" t="str" cm="1">
        <f t="array" ref="J5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8" s="1">
        <v>127</v>
      </c>
      <c r="L58" s="1" t="s">
        <v>14</v>
      </c>
      <c r="M58" s="1" t="str">
        <f>IF(Table1[[#This Row],[Fasting_Blood_Sugar]]="Yes","Diabetic Risk","Normal")</f>
        <v>Normal</v>
      </c>
      <c r="N58" s="1" t="s">
        <v>15</v>
      </c>
      <c r="O58" s="1">
        <v>136</v>
      </c>
      <c r="P58" s="1" t="s">
        <v>14</v>
      </c>
      <c r="Q58" s="4" t="s">
        <v>16</v>
      </c>
      <c r="R58" s="1" t="str" cm="1">
        <f t="array" ref="R5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" s="1">
        <f>IFERROR(Table1[[#This Row],[Cholesterol]]/Table1[[#This Row],[Max_Heart_Rate]],"")</f>
        <v>0.93382352941176472</v>
      </c>
    </row>
    <row r="59" spans="1:19">
      <c r="A59" s="3" t="s">
        <v>79</v>
      </c>
      <c r="B59" s="3" t="str">
        <f>RIGHT(Table1[[#This Row],[Patient_ID]],4)</f>
        <v>1057</v>
      </c>
      <c r="C59" s="1">
        <v>72</v>
      </c>
      <c r="D59" s="1" t="str">
        <f>VLOOKUP(Table1[[#This Row],[Age]],'Lookup &amp; Reference'!$G$2:$H$5,2,1)</f>
        <v>High</v>
      </c>
      <c r="E59" s="1" t="s">
        <v>18</v>
      </c>
      <c r="F59" s="1" t="str">
        <f>_xlfn.CONCAT(LEFT(Table1[[#This Row],[Gender]],1),Table1[[#This Row],[Age]])</f>
        <v>M72</v>
      </c>
      <c r="G59" s="1" t="s">
        <v>19</v>
      </c>
      <c r="H59" s="1">
        <f>LEN(Table1[[#This Row],[Chest_Pain_Type]])</f>
        <v>14</v>
      </c>
      <c r="I59" s="1">
        <v>148</v>
      </c>
      <c r="J59" s="1" t="str" cm="1">
        <f t="array" ref="J5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9" s="1">
        <v>290</v>
      </c>
      <c r="L59" s="1" t="s">
        <v>14</v>
      </c>
      <c r="M59" s="1" t="str">
        <f>IF(Table1[[#This Row],[Fasting_Blood_Sugar]]="Yes","Diabetic Risk","Normal")</f>
        <v>Normal</v>
      </c>
      <c r="N59" s="1" t="s">
        <v>15</v>
      </c>
      <c r="O59" s="1">
        <v>205</v>
      </c>
      <c r="P59" s="1" t="s">
        <v>16</v>
      </c>
      <c r="Q59" s="4" t="s">
        <v>16</v>
      </c>
      <c r="R59" s="1" t="str" cm="1">
        <f t="array" ref="R5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9" s="1">
        <f>IFERROR(Table1[[#This Row],[Cholesterol]]/Table1[[#This Row],[Max_Heart_Rate]],"")</f>
        <v>1.4146341463414633</v>
      </c>
    </row>
    <row r="60" spans="1:19">
      <c r="A60" s="3" t="s">
        <v>80</v>
      </c>
      <c r="B60" s="3" t="str">
        <f>RIGHT(Table1[[#This Row],[Patient_ID]],4)</f>
        <v>1058</v>
      </c>
      <c r="C60" s="1">
        <v>36</v>
      </c>
      <c r="D60" s="1" t="str">
        <f>VLOOKUP(Table1[[#This Row],[Age]],'Lookup &amp; Reference'!$G$2:$H$5,2,1)</f>
        <v>Low</v>
      </c>
      <c r="E60" s="1" t="s">
        <v>12</v>
      </c>
      <c r="F60" s="1" t="str">
        <f>_xlfn.CONCAT(LEFT(Table1[[#This Row],[Gender]],1),Table1[[#This Row],[Age]])</f>
        <v>F36</v>
      </c>
      <c r="G60" s="1" t="s">
        <v>25</v>
      </c>
      <c r="H60" s="1">
        <f>LEN(Table1[[#This Row],[Chest_Pain_Type]])</f>
        <v>12</v>
      </c>
      <c r="I60" s="1">
        <v>106</v>
      </c>
      <c r="J60" s="1" t="str" cm="1">
        <f t="array" ref="J6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60" s="1">
        <v>323</v>
      </c>
      <c r="L60" s="1" t="s">
        <v>16</v>
      </c>
      <c r="M60" s="1" t="str">
        <f>IF(Table1[[#This Row],[Fasting_Blood_Sugar]]="Yes","Diabetic Risk","Normal")</f>
        <v>Diabetic Risk</v>
      </c>
      <c r="N60" s="1" t="s">
        <v>20</v>
      </c>
      <c r="O60" s="1">
        <v>106</v>
      </c>
      <c r="P60" s="1" t="s">
        <v>16</v>
      </c>
      <c r="Q60" s="4" t="s">
        <v>14</v>
      </c>
      <c r="R60" s="1" t="str" cm="1">
        <f t="array" ref="R6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0" s="1">
        <f>IFERROR(Table1[[#This Row],[Cholesterol]]/Table1[[#This Row],[Max_Heart_Rate]],"")</f>
        <v>3.0471698113207548</v>
      </c>
    </row>
    <row r="61" spans="1:19">
      <c r="A61" s="3" t="s">
        <v>81</v>
      </c>
      <c r="B61" s="3" t="str">
        <f>RIGHT(Table1[[#This Row],[Patient_ID]],4)</f>
        <v>1059</v>
      </c>
      <c r="C61" s="1">
        <v>75</v>
      </c>
      <c r="D61" s="1" t="str">
        <f>VLOOKUP(Table1[[#This Row],[Age]],'Lookup &amp; Reference'!$G$2:$H$5,2,1)</f>
        <v>High</v>
      </c>
      <c r="E61" s="1" t="s">
        <v>12</v>
      </c>
      <c r="F61" s="1" t="str">
        <f>_xlfn.CONCAT(LEFT(Table1[[#This Row],[Gender]],1),Table1[[#This Row],[Age]])</f>
        <v>F75</v>
      </c>
      <c r="G61" s="1" t="s">
        <v>25</v>
      </c>
      <c r="H61" s="1">
        <f>LEN(Table1[[#This Row],[Chest_Pain_Type]])</f>
        <v>12</v>
      </c>
      <c r="I61" s="1">
        <v>103</v>
      </c>
      <c r="J61" s="1" t="str" cm="1">
        <f t="array" ref="J6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61" s="1">
        <v>120</v>
      </c>
      <c r="L61" s="1" t="s">
        <v>14</v>
      </c>
      <c r="M61" s="1" t="str">
        <f>IF(Table1[[#This Row],[Fasting_Blood_Sugar]]="Yes","Diabetic Risk","Normal")</f>
        <v>Normal</v>
      </c>
      <c r="N61" s="1" t="s">
        <v>15</v>
      </c>
      <c r="O61" s="1">
        <v>198</v>
      </c>
      <c r="P61" s="1" t="s">
        <v>16</v>
      </c>
      <c r="Q61" s="4" t="s">
        <v>14</v>
      </c>
      <c r="R61" s="1" t="str" cm="1">
        <f t="array" ref="R6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1" s="1">
        <f>IFERROR(Table1[[#This Row],[Cholesterol]]/Table1[[#This Row],[Max_Heart_Rate]],"")</f>
        <v>0.60606060606060608</v>
      </c>
    </row>
    <row r="62" spans="1:19">
      <c r="A62" s="3" t="s">
        <v>82</v>
      </c>
      <c r="B62" s="3" t="str">
        <f>RIGHT(Table1[[#This Row],[Patient_ID]],4)</f>
        <v>1060</v>
      </c>
      <c r="C62" s="1">
        <v>63</v>
      </c>
      <c r="D62" s="1" t="str">
        <f>VLOOKUP(Table1[[#This Row],[Age]],'Lookup &amp; Reference'!$G$2:$H$5,2,1)</f>
        <v>High</v>
      </c>
      <c r="E62" s="1" t="s">
        <v>18</v>
      </c>
      <c r="F62" s="1" t="str">
        <f>_xlfn.CONCAT(LEFT(Table1[[#This Row],[Gender]],1),Table1[[#This Row],[Age]])</f>
        <v>M63</v>
      </c>
      <c r="G62" s="1" t="s">
        <v>22</v>
      </c>
      <c r="H62" s="1">
        <f>LEN(Table1[[#This Row],[Chest_Pain_Type]])</f>
        <v>15</v>
      </c>
      <c r="I62" s="1">
        <v>120</v>
      </c>
      <c r="J62" s="1" t="str" cm="1">
        <f t="array" ref="J6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62" s="1">
        <v>176</v>
      </c>
      <c r="L62" s="1" t="s">
        <v>14</v>
      </c>
      <c r="M62" s="1" t="str">
        <f>IF(Table1[[#This Row],[Fasting_Blood_Sugar]]="Yes","Diabetic Risk","Normal")</f>
        <v>Normal</v>
      </c>
      <c r="N62" s="1" t="s">
        <v>27</v>
      </c>
      <c r="O62" s="1">
        <v>185</v>
      </c>
      <c r="P62" s="1" t="s">
        <v>16</v>
      </c>
      <c r="Q62" s="4" t="s">
        <v>14</v>
      </c>
      <c r="R62" s="1" t="str" cm="1">
        <f t="array" ref="R6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2" s="1">
        <f>IFERROR(Table1[[#This Row],[Cholesterol]]/Table1[[#This Row],[Max_Heart_Rate]],"")</f>
        <v>0.9513513513513514</v>
      </c>
    </row>
    <row r="63" spans="1:19">
      <c r="A63" s="3" t="s">
        <v>83</v>
      </c>
      <c r="B63" s="3" t="str">
        <f>RIGHT(Table1[[#This Row],[Patient_ID]],4)</f>
        <v>1061</v>
      </c>
      <c r="C63" s="1">
        <v>42</v>
      </c>
      <c r="D63" s="1" t="str">
        <f>VLOOKUP(Table1[[#This Row],[Age]],'Lookup &amp; Reference'!$G$2:$H$5,2,1)</f>
        <v>Low</v>
      </c>
      <c r="E63" s="1" t="s">
        <v>12</v>
      </c>
      <c r="F63" s="1" t="str">
        <f>_xlfn.CONCAT(LEFT(Table1[[#This Row],[Gender]],1),Table1[[#This Row],[Age]])</f>
        <v>F42</v>
      </c>
      <c r="G63" s="1" t="s">
        <v>25</v>
      </c>
      <c r="H63" s="1">
        <f>LEN(Table1[[#This Row],[Chest_Pain_Type]])</f>
        <v>12</v>
      </c>
      <c r="I63" s="1">
        <v>113</v>
      </c>
      <c r="J63" s="1" t="str" cm="1">
        <f t="array" ref="J6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63" s="1">
        <v>183</v>
      </c>
      <c r="L63" s="1" t="s">
        <v>16</v>
      </c>
      <c r="M63" s="1" t="str">
        <f>IF(Table1[[#This Row],[Fasting_Blood_Sugar]]="Yes","Diabetic Risk","Normal")</f>
        <v>Diabetic Risk</v>
      </c>
      <c r="N63" s="1" t="s">
        <v>20</v>
      </c>
      <c r="O63" s="1">
        <v>201</v>
      </c>
      <c r="P63" s="1" t="s">
        <v>16</v>
      </c>
      <c r="Q63" s="4" t="s">
        <v>14</v>
      </c>
      <c r="R63" s="1" t="str" cm="1">
        <f t="array" ref="R6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3" s="1">
        <f>IFERROR(Table1[[#This Row],[Cholesterol]]/Table1[[#This Row],[Max_Heart_Rate]],"")</f>
        <v>0.91044776119402981</v>
      </c>
    </row>
    <row r="64" spans="1:19">
      <c r="A64" s="3" t="s">
        <v>84</v>
      </c>
      <c r="B64" s="3" t="str">
        <f>RIGHT(Table1[[#This Row],[Patient_ID]],4)</f>
        <v>1062</v>
      </c>
      <c r="C64" s="1">
        <v>45</v>
      </c>
      <c r="D64" s="1" t="str">
        <f>VLOOKUP(Table1[[#This Row],[Age]],'Lookup &amp; Reference'!$G$2:$H$5,2,1)</f>
        <v>Medium</v>
      </c>
      <c r="E64" s="1" t="s">
        <v>18</v>
      </c>
      <c r="F64" s="1" t="str">
        <f>_xlfn.CONCAT(LEFT(Table1[[#This Row],[Gender]],1),Table1[[#This Row],[Age]])</f>
        <v>M45</v>
      </c>
      <c r="G64" s="1" t="s">
        <v>25</v>
      </c>
      <c r="H64" s="1">
        <f>LEN(Table1[[#This Row],[Chest_Pain_Type]])</f>
        <v>12</v>
      </c>
      <c r="I64" s="1">
        <v>188</v>
      </c>
      <c r="J64" s="1" t="str" cm="1">
        <f t="array" ref="J6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64" s="1">
        <v>237</v>
      </c>
      <c r="L64" s="1" t="s">
        <v>14</v>
      </c>
      <c r="M64" s="1" t="str">
        <f>IF(Table1[[#This Row],[Fasting_Blood_Sugar]]="Yes","Diabetic Risk","Normal")</f>
        <v>Normal</v>
      </c>
      <c r="N64" s="1" t="s">
        <v>15</v>
      </c>
      <c r="O64" s="1">
        <v>111</v>
      </c>
      <c r="P64" s="1" t="s">
        <v>14</v>
      </c>
      <c r="Q64" s="4" t="s">
        <v>14</v>
      </c>
      <c r="R64" s="1" t="str" cm="1">
        <f t="array" ref="R6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4" s="1">
        <f>IFERROR(Table1[[#This Row],[Cholesterol]]/Table1[[#This Row],[Max_Heart_Rate]],"")</f>
        <v>2.1351351351351351</v>
      </c>
    </row>
    <row r="65" spans="1:19">
      <c r="A65" s="3" t="s">
        <v>85</v>
      </c>
      <c r="B65" s="3" t="str">
        <f>RIGHT(Table1[[#This Row],[Patient_ID]],4)</f>
        <v>1063</v>
      </c>
      <c r="C65" s="1">
        <v>64</v>
      </c>
      <c r="D65" s="1" t="str">
        <f>VLOOKUP(Table1[[#This Row],[Age]],'Lookup &amp; Reference'!$G$2:$H$5,2,1)</f>
        <v>High</v>
      </c>
      <c r="E65" s="1" t="s">
        <v>12</v>
      </c>
      <c r="F65" s="1" t="str">
        <f>_xlfn.CONCAT(LEFT(Table1[[#This Row],[Gender]],1),Table1[[#This Row],[Age]])</f>
        <v>F64</v>
      </c>
      <c r="G65" s="1" t="s">
        <v>19</v>
      </c>
      <c r="H65" s="1">
        <f>LEN(Table1[[#This Row],[Chest_Pain_Type]])</f>
        <v>14</v>
      </c>
      <c r="I65" s="1">
        <v>149</v>
      </c>
      <c r="J65" s="1" t="str" cm="1">
        <f t="array" ref="J6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65" s="1">
        <v>331</v>
      </c>
      <c r="L65" s="1" t="s">
        <v>16</v>
      </c>
      <c r="M65" s="1" t="str">
        <f>IF(Table1[[#This Row],[Fasting_Blood_Sugar]]="Yes","Diabetic Risk","Normal")</f>
        <v>Diabetic Risk</v>
      </c>
      <c r="N65" s="1" t="s">
        <v>27</v>
      </c>
      <c r="O65" s="1">
        <v>157</v>
      </c>
      <c r="P65" s="1" t="s">
        <v>14</v>
      </c>
      <c r="Q65" s="4" t="s">
        <v>14</v>
      </c>
      <c r="R65" s="1" t="str" cm="1">
        <f t="array" ref="R6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5" s="1">
        <f>IFERROR(Table1[[#This Row],[Cholesterol]]/Table1[[#This Row],[Max_Heart_Rate]],"")</f>
        <v>2.1082802547770703</v>
      </c>
    </row>
    <row r="66" spans="1:19">
      <c r="A66" s="3" t="s">
        <v>86</v>
      </c>
      <c r="B66" s="3" t="str">
        <f>RIGHT(Table1[[#This Row],[Patient_ID]],4)</f>
        <v>1064</v>
      </c>
      <c r="C66" s="1">
        <v>78</v>
      </c>
      <c r="D66" s="1" t="str">
        <f>VLOOKUP(Table1[[#This Row],[Age]],'Lookup &amp; Reference'!$G$2:$H$5,2,1)</f>
        <v>High</v>
      </c>
      <c r="E66" s="1" t="s">
        <v>18</v>
      </c>
      <c r="F66" s="1" t="str">
        <f>_xlfn.CONCAT(LEFT(Table1[[#This Row],[Gender]],1),Table1[[#This Row],[Age]])</f>
        <v>M78</v>
      </c>
      <c r="G66" s="1" t="s">
        <v>25</v>
      </c>
      <c r="H66" s="1">
        <f>LEN(Table1[[#This Row],[Chest_Pain_Type]])</f>
        <v>12</v>
      </c>
      <c r="I66" s="1">
        <v>134</v>
      </c>
      <c r="J66" s="1" t="str" cm="1">
        <f t="array" ref="J6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66" s="1">
        <v>147</v>
      </c>
      <c r="L66" s="1" t="s">
        <v>16</v>
      </c>
      <c r="M66" s="1" t="str">
        <f>IF(Table1[[#This Row],[Fasting_Blood_Sugar]]="Yes","Diabetic Risk","Normal")</f>
        <v>Diabetic Risk</v>
      </c>
      <c r="N66" s="1" t="s">
        <v>20</v>
      </c>
      <c r="O66" s="1">
        <v>158</v>
      </c>
      <c r="P66" s="1" t="s">
        <v>14</v>
      </c>
      <c r="Q66" s="4" t="s">
        <v>14</v>
      </c>
      <c r="R66" s="1" t="str" cm="1">
        <f t="array" ref="R6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6" s="1">
        <f>IFERROR(Table1[[#This Row],[Cholesterol]]/Table1[[#This Row],[Max_Heart_Rate]],"")</f>
        <v>0.930379746835443</v>
      </c>
    </row>
    <row r="67" spans="1:19">
      <c r="A67" s="3" t="s">
        <v>87</v>
      </c>
      <c r="B67" s="3" t="str">
        <f>RIGHT(Table1[[#This Row],[Patient_ID]],4)</f>
        <v>1065</v>
      </c>
      <c r="C67" s="1">
        <v>68</v>
      </c>
      <c r="D67" s="1" t="str">
        <f>VLOOKUP(Table1[[#This Row],[Age]],'Lookup &amp; Reference'!$G$2:$H$5,2,1)</f>
        <v>High</v>
      </c>
      <c r="E67" s="1" t="s">
        <v>18</v>
      </c>
      <c r="F67" s="1" t="str">
        <f>_xlfn.CONCAT(LEFT(Table1[[#This Row],[Gender]],1),Table1[[#This Row],[Age]])</f>
        <v>M68</v>
      </c>
      <c r="G67" s="1" t="s">
        <v>13</v>
      </c>
      <c r="H67" s="1">
        <f>LEN(Table1[[#This Row],[Chest_Pain_Type]])</f>
        <v>11</v>
      </c>
      <c r="I67" s="1">
        <v>187</v>
      </c>
      <c r="J67" s="1" t="str" cm="1">
        <f t="array" ref="J6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67" s="1">
        <v>240</v>
      </c>
      <c r="L67" s="1" t="s">
        <v>16</v>
      </c>
      <c r="M67" s="1" t="str">
        <f>IF(Table1[[#This Row],[Fasting_Blood_Sugar]]="Yes","Diabetic Risk","Normal")</f>
        <v>Diabetic Risk</v>
      </c>
      <c r="N67" s="1" t="s">
        <v>27</v>
      </c>
      <c r="O67" s="1">
        <v>126</v>
      </c>
      <c r="P67" s="1" t="s">
        <v>14</v>
      </c>
      <c r="Q67" s="4" t="s">
        <v>14</v>
      </c>
      <c r="R67" s="1" t="str" cm="1">
        <f t="array" ref="R6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7" s="1">
        <f>IFERROR(Table1[[#This Row],[Cholesterol]]/Table1[[#This Row],[Max_Heart_Rate]],"")</f>
        <v>1.9047619047619047</v>
      </c>
    </row>
    <row r="68" spans="1:19">
      <c r="A68" s="3" t="s">
        <v>88</v>
      </c>
      <c r="B68" s="3" t="str">
        <f>RIGHT(Table1[[#This Row],[Patient_ID]],4)</f>
        <v>1066</v>
      </c>
      <c r="C68" s="1">
        <v>32</v>
      </c>
      <c r="D68" s="1" t="str">
        <f>VLOOKUP(Table1[[#This Row],[Age]],'Lookup &amp; Reference'!$G$2:$H$5,2,1)</f>
        <v>Low</v>
      </c>
      <c r="E68" s="1" t="s">
        <v>18</v>
      </c>
      <c r="F68" s="1" t="str">
        <f>_xlfn.CONCAT(LEFT(Table1[[#This Row],[Gender]],1),Table1[[#This Row],[Age]])</f>
        <v>M32</v>
      </c>
      <c r="G68" s="1" t="s">
        <v>19</v>
      </c>
      <c r="H68" s="1">
        <f>LEN(Table1[[#This Row],[Chest_Pain_Type]])</f>
        <v>14</v>
      </c>
      <c r="I68" s="1">
        <v>92</v>
      </c>
      <c r="J68" s="1" t="str" cm="1">
        <f t="array" ref="J6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68" s="1">
        <v>226</v>
      </c>
      <c r="L68" s="1" t="s">
        <v>14</v>
      </c>
      <c r="M68" s="1" t="str">
        <f>IF(Table1[[#This Row],[Fasting_Blood_Sugar]]="Yes","Diabetic Risk","Normal")</f>
        <v>Normal</v>
      </c>
      <c r="N68" s="1" t="s">
        <v>15</v>
      </c>
      <c r="O68" s="1">
        <v>194</v>
      </c>
      <c r="P68" s="1" t="s">
        <v>14</v>
      </c>
      <c r="Q68" s="4" t="s">
        <v>16</v>
      </c>
      <c r="R68" s="1" t="str" cm="1">
        <f t="array" ref="R6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8" s="1">
        <f>IFERROR(Table1[[#This Row],[Cholesterol]]/Table1[[#This Row],[Max_Heart_Rate]],"")</f>
        <v>1.1649484536082475</v>
      </c>
    </row>
    <row r="69" spans="1:19">
      <c r="A69" s="3" t="s">
        <v>89</v>
      </c>
      <c r="B69" s="3" t="str">
        <f>RIGHT(Table1[[#This Row],[Patient_ID]],4)</f>
        <v>1067</v>
      </c>
      <c r="C69" s="1">
        <v>30</v>
      </c>
      <c r="D69" s="1" t="str">
        <f>VLOOKUP(Table1[[#This Row],[Age]],'Lookup &amp; Reference'!$G$2:$H$5,2,1)</f>
        <v>Low</v>
      </c>
      <c r="E69" s="1" t="s">
        <v>18</v>
      </c>
      <c r="F69" s="1" t="str">
        <f>_xlfn.CONCAT(LEFT(Table1[[#This Row],[Gender]],1),Table1[[#This Row],[Age]])</f>
        <v>M30</v>
      </c>
      <c r="G69" s="1" t="s">
        <v>19</v>
      </c>
      <c r="H69" s="1">
        <f>LEN(Table1[[#This Row],[Chest_Pain_Type]])</f>
        <v>14</v>
      </c>
      <c r="I69" s="1">
        <v>126</v>
      </c>
      <c r="J69" s="1" t="str" cm="1">
        <f t="array" ref="J6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69" s="1">
        <v>284</v>
      </c>
      <c r="L69" s="1" t="s">
        <v>14</v>
      </c>
      <c r="M69" s="1" t="str">
        <f>IF(Table1[[#This Row],[Fasting_Blood_Sugar]]="Yes","Diabetic Risk","Normal")</f>
        <v>Normal</v>
      </c>
      <c r="N69" s="1" t="s">
        <v>15</v>
      </c>
      <c r="O69" s="1">
        <v>138</v>
      </c>
      <c r="P69" s="1" t="s">
        <v>16</v>
      </c>
      <c r="Q69" s="4" t="s">
        <v>16</v>
      </c>
      <c r="R69" s="1" t="str" cm="1">
        <f t="array" ref="R6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9" s="1">
        <f>IFERROR(Table1[[#This Row],[Cholesterol]]/Table1[[#This Row],[Max_Heart_Rate]],"")</f>
        <v>2.0579710144927534</v>
      </c>
    </row>
    <row r="70" spans="1:19">
      <c r="A70" s="3" t="s">
        <v>90</v>
      </c>
      <c r="B70" s="3" t="str">
        <f>RIGHT(Table1[[#This Row],[Patient_ID]],4)</f>
        <v>1068</v>
      </c>
      <c r="C70" s="1">
        <v>34</v>
      </c>
      <c r="D70" s="1" t="str">
        <f>VLOOKUP(Table1[[#This Row],[Age]],'Lookup &amp; Reference'!$G$2:$H$5,2,1)</f>
        <v>Low</v>
      </c>
      <c r="E70" s="1" t="s">
        <v>18</v>
      </c>
      <c r="F70" s="1" t="str">
        <f>_xlfn.CONCAT(LEFT(Table1[[#This Row],[Gender]],1),Table1[[#This Row],[Age]])</f>
        <v>M34</v>
      </c>
      <c r="G70" s="1" t="s">
        <v>22</v>
      </c>
      <c r="H70" s="1">
        <f>LEN(Table1[[#This Row],[Chest_Pain_Type]])</f>
        <v>15</v>
      </c>
      <c r="I70" s="1">
        <v>132</v>
      </c>
      <c r="J70" s="1" t="str" cm="1">
        <f t="array" ref="J7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70" s="1">
        <v>294</v>
      </c>
      <c r="L70" s="1" t="s">
        <v>16</v>
      </c>
      <c r="M70" s="1" t="str">
        <f>IF(Table1[[#This Row],[Fasting_Blood_Sugar]]="Yes","Diabetic Risk","Normal")</f>
        <v>Diabetic Risk</v>
      </c>
      <c r="N70" s="1" t="s">
        <v>15</v>
      </c>
      <c r="O70" s="1">
        <v>102</v>
      </c>
      <c r="P70" s="1" t="s">
        <v>16</v>
      </c>
      <c r="Q70" s="4" t="s">
        <v>16</v>
      </c>
      <c r="R70" s="1" t="str" cm="1">
        <f t="array" ref="R7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70" s="1">
        <f>IFERROR(Table1[[#This Row],[Cholesterol]]/Table1[[#This Row],[Max_Heart_Rate]],"")</f>
        <v>2.8823529411764706</v>
      </c>
    </row>
    <row r="71" spans="1:19">
      <c r="A71" s="3" t="s">
        <v>91</v>
      </c>
      <c r="B71" s="3" t="str">
        <f>RIGHT(Table1[[#This Row],[Patient_ID]],4)</f>
        <v>1069</v>
      </c>
      <c r="C71" s="1">
        <v>70</v>
      </c>
      <c r="D71" s="1" t="str">
        <f>VLOOKUP(Table1[[#This Row],[Age]],'Lookup &amp; Reference'!$G$2:$H$5,2,1)</f>
        <v>High</v>
      </c>
      <c r="E71" s="1" t="s">
        <v>18</v>
      </c>
      <c r="F71" s="1" t="str">
        <f>_xlfn.CONCAT(LEFT(Table1[[#This Row],[Gender]],1),Table1[[#This Row],[Age]])</f>
        <v>M70</v>
      </c>
      <c r="G71" s="1" t="s">
        <v>25</v>
      </c>
      <c r="H71" s="1">
        <f>LEN(Table1[[#This Row],[Chest_Pain_Type]])</f>
        <v>12</v>
      </c>
      <c r="I71" s="1">
        <v>129</v>
      </c>
      <c r="J71" s="1" t="str" cm="1">
        <f t="array" ref="J7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71" s="1">
        <v>348</v>
      </c>
      <c r="L71" s="1" t="s">
        <v>14</v>
      </c>
      <c r="M71" s="1" t="str">
        <f>IF(Table1[[#This Row],[Fasting_Blood_Sugar]]="Yes","Diabetic Risk","Normal")</f>
        <v>Normal</v>
      </c>
      <c r="N71" s="1" t="s">
        <v>15</v>
      </c>
      <c r="O71" s="1">
        <v>123</v>
      </c>
      <c r="P71" s="1" t="s">
        <v>16</v>
      </c>
      <c r="Q71" s="4" t="s">
        <v>16</v>
      </c>
      <c r="R71" s="1" t="str" cm="1">
        <f t="array" ref="R7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71" s="1">
        <f>IFERROR(Table1[[#This Row],[Cholesterol]]/Table1[[#This Row],[Max_Heart_Rate]],"")</f>
        <v>2.8292682926829267</v>
      </c>
    </row>
    <row r="72" spans="1:19">
      <c r="A72" s="3" t="s">
        <v>92</v>
      </c>
      <c r="B72" s="3" t="str">
        <f>RIGHT(Table1[[#This Row],[Patient_ID]],4)</f>
        <v>1070</v>
      </c>
      <c r="C72" s="1">
        <v>32</v>
      </c>
      <c r="D72" s="1" t="str">
        <f>VLOOKUP(Table1[[#This Row],[Age]],'Lookup &amp; Reference'!$G$2:$H$5,2,1)</f>
        <v>Low</v>
      </c>
      <c r="E72" s="1" t="s">
        <v>12</v>
      </c>
      <c r="F72" s="1" t="str">
        <f>_xlfn.CONCAT(LEFT(Table1[[#This Row],[Gender]],1),Table1[[#This Row],[Age]])</f>
        <v>F32</v>
      </c>
      <c r="G72" s="1" t="s">
        <v>22</v>
      </c>
      <c r="H72" s="1">
        <f>LEN(Table1[[#This Row],[Chest_Pain_Type]])</f>
        <v>15</v>
      </c>
      <c r="I72" s="1">
        <v>179</v>
      </c>
      <c r="J72" s="1" t="str" cm="1">
        <f t="array" ref="J7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72" s="1">
        <v>323</v>
      </c>
      <c r="L72" s="1" t="s">
        <v>14</v>
      </c>
      <c r="M72" s="1" t="str">
        <f>IF(Table1[[#This Row],[Fasting_Blood_Sugar]]="Yes","Diabetic Risk","Normal")</f>
        <v>Normal</v>
      </c>
      <c r="N72" s="1" t="s">
        <v>20</v>
      </c>
      <c r="O72" s="1">
        <v>198</v>
      </c>
      <c r="P72" s="1" t="s">
        <v>16</v>
      </c>
      <c r="Q72" s="4" t="s">
        <v>16</v>
      </c>
      <c r="R72" s="1" t="str" cm="1">
        <f t="array" ref="R7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72" s="1">
        <f>IFERROR(Table1[[#This Row],[Cholesterol]]/Table1[[#This Row],[Max_Heart_Rate]],"")</f>
        <v>1.6313131313131313</v>
      </c>
    </row>
    <row r="73" spans="1:19">
      <c r="A73" s="3" t="s">
        <v>93</v>
      </c>
      <c r="B73" s="3" t="str">
        <f>RIGHT(Table1[[#This Row],[Patient_ID]],4)</f>
        <v>1071</v>
      </c>
      <c r="C73" s="1">
        <v>57</v>
      </c>
      <c r="D73" s="1" t="str">
        <f>VLOOKUP(Table1[[#This Row],[Age]],'Lookup &amp; Reference'!$G$2:$H$5,2,1)</f>
        <v>Medium</v>
      </c>
      <c r="E73" s="1" t="s">
        <v>18</v>
      </c>
      <c r="F73" s="1" t="str">
        <f>_xlfn.CONCAT(LEFT(Table1[[#This Row],[Gender]],1),Table1[[#This Row],[Age]])</f>
        <v>M57</v>
      </c>
      <c r="G73" s="1" t="s">
        <v>13</v>
      </c>
      <c r="H73" s="1">
        <f>LEN(Table1[[#This Row],[Chest_Pain_Type]])</f>
        <v>11</v>
      </c>
      <c r="I73" s="1">
        <v>144</v>
      </c>
      <c r="J73" s="1" t="str" cm="1">
        <f t="array" ref="J7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73" s="1">
        <v>284</v>
      </c>
      <c r="L73" s="1" t="s">
        <v>14</v>
      </c>
      <c r="M73" s="1" t="str">
        <f>IF(Table1[[#This Row],[Fasting_Blood_Sugar]]="Yes","Diabetic Risk","Normal")</f>
        <v>Normal</v>
      </c>
      <c r="N73" s="1" t="s">
        <v>20</v>
      </c>
      <c r="O73" s="1">
        <v>175</v>
      </c>
      <c r="P73" s="1" t="s">
        <v>14</v>
      </c>
      <c r="Q73" s="4" t="s">
        <v>16</v>
      </c>
      <c r="R73" s="1" t="str" cm="1">
        <f t="array" ref="R7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73" s="1">
        <f>IFERROR(Table1[[#This Row],[Cholesterol]]/Table1[[#This Row],[Max_Heart_Rate]],"")</f>
        <v>1.6228571428571428</v>
      </c>
    </row>
    <row r="74" spans="1:19">
      <c r="A74" s="3" t="s">
        <v>94</v>
      </c>
      <c r="B74" s="3" t="str">
        <f>RIGHT(Table1[[#This Row],[Patient_ID]],4)</f>
        <v>1072</v>
      </c>
      <c r="C74" s="1">
        <v>46</v>
      </c>
      <c r="D74" s="1" t="str">
        <f>VLOOKUP(Table1[[#This Row],[Age]],'Lookup &amp; Reference'!$G$2:$H$5,2,1)</f>
        <v>Medium</v>
      </c>
      <c r="E74" s="1" t="s">
        <v>12</v>
      </c>
      <c r="F74" s="1" t="str">
        <f>_xlfn.CONCAT(LEFT(Table1[[#This Row],[Gender]],1),Table1[[#This Row],[Age]])</f>
        <v>F46</v>
      </c>
      <c r="G74" s="1" t="s">
        <v>19</v>
      </c>
      <c r="H74" s="1">
        <f>LEN(Table1[[#This Row],[Chest_Pain_Type]])</f>
        <v>14</v>
      </c>
      <c r="I74" s="1">
        <v>176</v>
      </c>
      <c r="J74" s="1" t="str" cm="1">
        <f t="array" ref="J7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74" s="1">
        <v>168</v>
      </c>
      <c r="L74" s="1" t="s">
        <v>14</v>
      </c>
      <c r="M74" s="1" t="str">
        <f>IF(Table1[[#This Row],[Fasting_Blood_Sugar]]="Yes","Diabetic Risk","Normal")</f>
        <v>Normal</v>
      </c>
      <c r="N74" s="1" t="s">
        <v>27</v>
      </c>
      <c r="O74" s="1">
        <v>142</v>
      </c>
      <c r="P74" s="1" t="s">
        <v>14</v>
      </c>
      <c r="Q74" s="4" t="s">
        <v>14</v>
      </c>
      <c r="R74" s="1" t="str" cm="1">
        <f t="array" ref="R7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74" s="1">
        <f>IFERROR(Table1[[#This Row],[Cholesterol]]/Table1[[#This Row],[Max_Heart_Rate]],"")</f>
        <v>1.1830985915492958</v>
      </c>
    </row>
    <row r="75" spans="1:19">
      <c r="A75" s="3" t="s">
        <v>95</v>
      </c>
      <c r="B75" s="3" t="str">
        <f>RIGHT(Table1[[#This Row],[Patient_ID]],4)</f>
        <v>1073</v>
      </c>
      <c r="C75" s="1">
        <v>54</v>
      </c>
      <c r="D75" s="1" t="str">
        <f>VLOOKUP(Table1[[#This Row],[Age]],'Lookup &amp; Reference'!$G$2:$H$5,2,1)</f>
        <v>Medium</v>
      </c>
      <c r="E75" s="1" t="s">
        <v>18</v>
      </c>
      <c r="F75" s="1" t="str">
        <f>_xlfn.CONCAT(LEFT(Table1[[#This Row],[Gender]],1),Table1[[#This Row],[Age]])</f>
        <v>M54</v>
      </c>
      <c r="G75" s="1" t="s">
        <v>19</v>
      </c>
      <c r="H75" s="1">
        <f>LEN(Table1[[#This Row],[Chest_Pain_Type]])</f>
        <v>14</v>
      </c>
      <c r="I75" s="1">
        <v>128</v>
      </c>
      <c r="J75" s="1" t="str" cm="1">
        <f t="array" ref="J7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75" s="1">
        <v>239</v>
      </c>
      <c r="L75" s="1" t="s">
        <v>16</v>
      </c>
      <c r="M75" s="1" t="str">
        <f>IF(Table1[[#This Row],[Fasting_Blood_Sugar]]="Yes","Diabetic Risk","Normal")</f>
        <v>Diabetic Risk</v>
      </c>
      <c r="N75" s="1" t="s">
        <v>15</v>
      </c>
      <c r="O75" s="1">
        <v>176</v>
      </c>
      <c r="P75" s="1" t="s">
        <v>14</v>
      </c>
      <c r="Q75" s="4" t="s">
        <v>14</v>
      </c>
      <c r="R75" s="1" t="str" cm="1">
        <f t="array" ref="R7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75" s="1">
        <f>IFERROR(Table1[[#This Row],[Cholesterol]]/Table1[[#This Row],[Max_Heart_Rate]],"")</f>
        <v>1.3579545454545454</v>
      </c>
    </row>
    <row r="76" spans="1:19">
      <c r="A76" s="3" t="s">
        <v>96</v>
      </c>
      <c r="B76" s="3" t="str">
        <f>RIGHT(Table1[[#This Row],[Patient_ID]],4)</f>
        <v>1074</v>
      </c>
      <c r="C76" s="1">
        <v>72</v>
      </c>
      <c r="D76" s="1" t="str">
        <f>VLOOKUP(Table1[[#This Row],[Age]],'Lookup &amp; Reference'!$G$2:$H$5,2,1)</f>
        <v>High</v>
      </c>
      <c r="E76" s="1" t="s">
        <v>12</v>
      </c>
      <c r="F76" s="1" t="str">
        <f>_xlfn.CONCAT(LEFT(Table1[[#This Row],[Gender]],1),Table1[[#This Row],[Age]])</f>
        <v>F72</v>
      </c>
      <c r="G76" s="1" t="s">
        <v>19</v>
      </c>
      <c r="H76" s="1">
        <f>LEN(Table1[[#This Row],[Chest_Pain_Type]])</f>
        <v>14</v>
      </c>
      <c r="I76" s="1">
        <v>104</v>
      </c>
      <c r="J76" s="1" t="str" cm="1">
        <f t="array" ref="J7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76" s="1">
        <v>163</v>
      </c>
      <c r="L76" s="1" t="s">
        <v>14</v>
      </c>
      <c r="M76" s="1" t="str">
        <f>IF(Table1[[#This Row],[Fasting_Blood_Sugar]]="Yes","Diabetic Risk","Normal")</f>
        <v>Normal</v>
      </c>
      <c r="N76" s="1" t="s">
        <v>27</v>
      </c>
      <c r="O76" s="1">
        <v>140</v>
      </c>
      <c r="P76" s="1" t="s">
        <v>16</v>
      </c>
      <c r="Q76" s="4" t="s">
        <v>16</v>
      </c>
      <c r="R76" s="1" t="str" cm="1">
        <f t="array" ref="R7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76" s="1">
        <f>IFERROR(Table1[[#This Row],[Cholesterol]]/Table1[[#This Row],[Max_Heart_Rate]],"")</f>
        <v>1.1642857142857144</v>
      </c>
    </row>
    <row r="77" spans="1:19">
      <c r="A77" s="3" t="s">
        <v>97</v>
      </c>
      <c r="B77" s="3" t="str">
        <f>RIGHT(Table1[[#This Row],[Patient_ID]],4)</f>
        <v>1075</v>
      </c>
      <c r="C77" s="1">
        <v>62</v>
      </c>
      <c r="D77" s="1" t="str">
        <f>VLOOKUP(Table1[[#This Row],[Age]],'Lookup &amp; Reference'!$G$2:$H$5,2,1)</f>
        <v>High</v>
      </c>
      <c r="E77" s="1" t="s">
        <v>12</v>
      </c>
      <c r="F77" s="1" t="str">
        <f>_xlfn.CONCAT(LEFT(Table1[[#This Row],[Gender]],1),Table1[[#This Row],[Age]])</f>
        <v>F62</v>
      </c>
      <c r="G77" s="1" t="s">
        <v>13</v>
      </c>
      <c r="H77" s="1">
        <f>LEN(Table1[[#This Row],[Chest_Pain_Type]])</f>
        <v>11</v>
      </c>
      <c r="I77" s="1">
        <v>93</v>
      </c>
      <c r="J77" s="1" t="str" cm="1">
        <f t="array" ref="J7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77" s="1">
        <v>175</v>
      </c>
      <c r="L77" s="1" t="s">
        <v>16</v>
      </c>
      <c r="M77" s="1" t="str">
        <f>IF(Table1[[#This Row],[Fasting_Blood_Sugar]]="Yes","Diabetic Risk","Normal")</f>
        <v>Diabetic Risk</v>
      </c>
      <c r="N77" s="1" t="s">
        <v>20</v>
      </c>
      <c r="O77" s="1">
        <v>92</v>
      </c>
      <c r="P77" s="1" t="s">
        <v>14</v>
      </c>
      <c r="Q77" s="4" t="s">
        <v>16</v>
      </c>
      <c r="R77" s="1" t="str" cm="1">
        <f t="array" ref="R7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77" s="1">
        <f>IFERROR(Table1[[#This Row],[Cholesterol]]/Table1[[#This Row],[Max_Heart_Rate]],"")</f>
        <v>1.9021739130434783</v>
      </c>
    </row>
    <row r="78" spans="1:19">
      <c r="A78" s="3" t="s">
        <v>98</v>
      </c>
      <c r="B78" s="3" t="str">
        <f>RIGHT(Table1[[#This Row],[Patient_ID]],4)</f>
        <v>1076</v>
      </c>
      <c r="C78" s="1">
        <v>38</v>
      </c>
      <c r="D78" s="1" t="str">
        <f>VLOOKUP(Table1[[#This Row],[Age]],'Lookup &amp; Reference'!$G$2:$H$5,2,1)</f>
        <v>Low</v>
      </c>
      <c r="E78" s="1" t="s">
        <v>12</v>
      </c>
      <c r="F78" s="1" t="str">
        <f>_xlfn.CONCAT(LEFT(Table1[[#This Row],[Gender]],1),Table1[[#This Row],[Age]])</f>
        <v>F38</v>
      </c>
      <c r="G78" s="1" t="s">
        <v>13</v>
      </c>
      <c r="H78" s="1">
        <f>LEN(Table1[[#This Row],[Chest_Pain_Type]])</f>
        <v>11</v>
      </c>
      <c r="I78" s="1">
        <v>182</v>
      </c>
      <c r="J78" s="1" t="str" cm="1">
        <f t="array" ref="J7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78" s="1">
        <v>275</v>
      </c>
      <c r="L78" s="1" t="s">
        <v>16</v>
      </c>
      <c r="M78" s="1" t="str">
        <f>IF(Table1[[#This Row],[Fasting_Blood_Sugar]]="Yes","Diabetic Risk","Normal")</f>
        <v>Diabetic Risk</v>
      </c>
      <c r="N78" s="1" t="s">
        <v>15</v>
      </c>
      <c r="O78" s="1">
        <v>131</v>
      </c>
      <c r="P78" s="1" t="s">
        <v>16</v>
      </c>
      <c r="Q78" s="4" t="s">
        <v>14</v>
      </c>
      <c r="R78" s="1" t="str" cm="1">
        <f t="array" ref="R7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78" s="1">
        <f>IFERROR(Table1[[#This Row],[Cholesterol]]/Table1[[#This Row],[Max_Heart_Rate]],"")</f>
        <v>2.0992366412213741</v>
      </c>
    </row>
    <row r="79" spans="1:19">
      <c r="A79" s="3" t="s">
        <v>99</v>
      </c>
      <c r="B79" s="3" t="str">
        <f>RIGHT(Table1[[#This Row],[Patient_ID]],4)</f>
        <v>1077</v>
      </c>
      <c r="C79" s="1">
        <v>64</v>
      </c>
      <c r="D79" s="1" t="str">
        <f>VLOOKUP(Table1[[#This Row],[Age]],'Lookup &amp; Reference'!$G$2:$H$5,2,1)</f>
        <v>High</v>
      </c>
      <c r="E79" s="1" t="s">
        <v>18</v>
      </c>
      <c r="F79" s="1" t="str">
        <f>_xlfn.CONCAT(LEFT(Table1[[#This Row],[Gender]],1),Table1[[#This Row],[Age]])</f>
        <v>M64</v>
      </c>
      <c r="G79" s="1" t="s">
        <v>22</v>
      </c>
      <c r="H79" s="1">
        <f>LEN(Table1[[#This Row],[Chest_Pain_Type]])</f>
        <v>15</v>
      </c>
      <c r="I79" s="1">
        <v>175</v>
      </c>
      <c r="J79" s="1" t="str" cm="1">
        <f t="array" ref="J7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79" s="1">
        <v>230</v>
      </c>
      <c r="L79" s="1" t="s">
        <v>14</v>
      </c>
      <c r="M79" s="1" t="str">
        <f>IF(Table1[[#This Row],[Fasting_Blood_Sugar]]="Yes","Diabetic Risk","Normal")</f>
        <v>Normal</v>
      </c>
      <c r="N79" s="1" t="s">
        <v>15</v>
      </c>
      <c r="O79" s="1">
        <v>187</v>
      </c>
      <c r="P79" s="1" t="s">
        <v>14</v>
      </c>
      <c r="Q79" s="4" t="s">
        <v>14</v>
      </c>
      <c r="R79" s="1" t="str" cm="1">
        <f t="array" ref="R7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79" s="1">
        <f>IFERROR(Table1[[#This Row],[Cholesterol]]/Table1[[#This Row],[Max_Heart_Rate]],"")</f>
        <v>1.2299465240641712</v>
      </c>
    </row>
    <row r="80" spans="1:19">
      <c r="A80" s="3" t="s">
        <v>100</v>
      </c>
      <c r="B80" s="3" t="str">
        <f>RIGHT(Table1[[#This Row],[Patient_ID]],4)</f>
        <v>1078</v>
      </c>
      <c r="C80" s="1">
        <v>42</v>
      </c>
      <c r="D80" s="1" t="str">
        <f>VLOOKUP(Table1[[#This Row],[Age]],'Lookup &amp; Reference'!$G$2:$H$5,2,1)</f>
        <v>Low</v>
      </c>
      <c r="E80" s="1" t="s">
        <v>18</v>
      </c>
      <c r="F80" s="1" t="str">
        <f>_xlfn.CONCAT(LEFT(Table1[[#This Row],[Gender]],1),Table1[[#This Row],[Age]])</f>
        <v>M42</v>
      </c>
      <c r="G80" s="1" t="s">
        <v>22</v>
      </c>
      <c r="H80" s="1">
        <f>LEN(Table1[[#This Row],[Chest_Pain_Type]])</f>
        <v>15</v>
      </c>
      <c r="I80" s="1">
        <v>114</v>
      </c>
      <c r="J80" s="1" t="str" cm="1">
        <f t="array" ref="J8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80" s="1">
        <v>326</v>
      </c>
      <c r="L80" s="1" t="s">
        <v>16</v>
      </c>
      <c r="M80" s="1" t="str">
        <f>IF(Table1[[#This Row],[Fasting_Blood_Sugar]]="Yes","Diabetic Risk","Normal")</f>
        <v>Diabetic Risk</v>
      </c>
      <c r="N80" s="1" t="s">
        <v>20</v>
      </c>
      <c r="O80" s="1">
        <v>121</v>
      </c>
      <c r="P80" s="1" t="s">
        <v>14</v>
      </c>
      <c r="Q80" s="4" t="s">
        <v>14</v>
      </c>
      <c r="R80" s="1" t="str" cm="1">
        <f t="array" ref="R8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0" s="1">
        <f>IFERROR(Table1[[#This Row],[Cholesterol]]/Table1[[#This Row],[Max_Heart_Rate]],"")</f>
        <v>2.6942148760330578</v>
      </c>
    </row>
    <row r="81" spans="1:19">
      <c r="A81" s="3" t="s">
        <v>101</v>
      </c>
      <c r="B81" s="3" t="str">
        <f>RIGHT(Table1[[#This Row],[Patient_ID]],4)</f>
        <v>1079</v>
      </c>
      <c r="C81" s="1">
        <v>59</v>
      </c>
      <c r="D81" s="1" t="str">
        <f>VLOOKUP(Table1[[#This Row],[Age]],'Lookup &amp; Reference'!$G$2:$H$5,2,1)</f>
        <v>Medium</v>
      </c>
      <c r="E81" s="1" t="s">
        <v>12</v>
      </c>
      <c r="F81" s="1" t="str">
        <f>_xlfn.CONCAT(LEFT(Table1[[#This Row],[Gender]],1),Table1[[#This Row],[Age]])</f>
        <v>F59</v>
      </c>
      <c r="G81" s="1" t="s">
        <v>22</v>
      </c>
      <c r="H81" s="1">
        <f>LEN(Table1[[#This Row],[Chest_Pain_Type]])</f>
        <v>15</v>
      </c>
      <c r="I81" s="1">
        <v>102</v>
      </c>
      <c r="J81" s="1" t="str" cm="1">
        <f t="array" ref="J8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81" s="1">
        <v>253</v>
      </c>
      <c r="L81" s="1" t="s">
        <v>14</v>
      </c>
      <c r="M81" s="1" t="str">
        <f>IF(Table1[[#This Row],[Fasting_Blood_Sugar]]="Yes","Diabetic Risk","Normal")</f>
        <v>Normal</v>
      </c>
      <c r="N81" s="1" t="s">
        <v>20</v>
      </c>
      <c r="O81" s="1">
        <v>198</v>
      </c>
      <c r="P81" s="1" t="s">
        <v>16</v>
      </c>
      <c r="Q81" s="4" t="s">
        <v>16</v>
      </c>
      <c r="R81" s="1" t="str" cm="1">
        <f t="array" ref="R8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81" s="1">
        <f>IFERROR(Table1[[#This Row],[Cholesterol]]/Table1[[#This Row],[Max_Heart_Rate]],"")</f>
        <v>1.2777777777777777</v>
      </c>
    </row>
    <row r="82" spans="1:19">
      <c r="A82" s="3" t="s">
        <v>102</v>
      </c>
      <c r="B82" s="3" t="str">
        <f>RIGHT(Table1[[#This Row],[Patient_ID]],4)</f>
        <v>1080</v>
      </c>
      <c r="C82" s="1">
        <v>76</v>
      </c>
      <c r="D82" s="1" t="str">
        <f>VLOOKUP(Table1[[#This Row],[Age]],'Lookup &amp; Reference'!$G$2:$H$5,2,1)</f>
        <v>High</v>
      </c>
      <c r="E82" s="1" t="s">
        <v>18</v>
      </c>
      <c r="F82" s="1" t="str">
        <f>_xlfn.CONCAT(LEFT(Table1[[#This Row],[Gender]],1),Table1[[#This Row],[Age]])</f>
        <v>M76</v>
      </c>
      <c r="G82" s="1" t="s">
        <v>25</v>
      </c>
      <c r="H82" s="1">
        <f>LEN(Table1[[#This Row],[Chest_Pain_Type]])</f>
        <v>12</v>
      </c>
      <c r="I82" s="1">
        <v>171</v>
      </c>
      <c r="J82" s="1" t="str" cm="1">
        <f t="array" ref="J8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82" s="1">
        <v>227</v>
      </c>
      <c r="L82" s="1" t="s">
        <v>14</v>
      </c>
      <c r="M82" s="1" t="str">
        <f>IF(Table1[[#This Row],[Fasting_Blood_Sugar]]="Yes","Diabetic Risk","Normal")</f>
        <v>Normal</v>
      </c>
      <c r="N82" s="1" t="s">
        <v>20</v>
      </c>
      <c r="O82" s="1">
        <v>140</v>
      </c>
      <c r="P82" s="1" t="s">
        <v>16</v>
      </c>
      <c r="Q82" s="4" t="s">
        <v>14</v>
      </c>
      <c r="R82" s="1" t="str" cm="1">
        <f t="array" ref="R8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2" s="1">
        <f>IFERROR(Table1[[#This Row],[Cholesterol]]/Table1[[#This Row],[Max_Heart_Rate]],"")</f>
        <v>1.6214285714285714</v>
      </c>
    </row>
    <row r="83" spans="1:19">
      <c r="A83" s="3" t="s">
        <v>103</v>
      </c>
      <c r="B83" s="3" t="str">
        <f>RIGHT(Table1[[#This Row],[Patient_ID]],4)</f>
        <v>1081</v>
      </c>
      <c r="C83" s="1">
        <v>43</v>
      </c>
      <c r="D83" s="1" t="str">
        <f>VLOOKUP(Table1[[#This Row],[Age]],'Lookup &amp; Reference'!$G$2:$H$5,2,1)</f>
        <v>Low</v>
      </c>
      <c r="E83" s="1" t="s">
        <v>12</v>
      </c>
      <c r="F83" s="1" t="str">
        <f>_xlfn.CONCAT(LEFT(Table1[[#This Row],[Gender]],1),Table1[[#This Row],[Age]])</f>
        <v>F43</v>
      </c>
      <c r="G83" s="1" t="s">
        <v>19</v>
      </c>
      <c r="H83" s="1">
        <f>LEN(Table1[[#This Row],[Chest_Pain_Type]])</f>
        <v>14</v>
      </c>
      <c r="I83" s="1">
        <v>122</v>
      </c>
      <c r="J83" s="1" t="str" cm="1">
        <f t="array" ref="J8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83" s="1">
        <v>308</v>
      </c>
      <c r="L83" s="1" t="s">
        <v>16</v>
      </c>
      <c r="M83" s="1" t="str">
        <f>IF(Table1[[#This Row],[Fasting_Blood_Sugar]]="Yes","Diabetic Risk","Normal")</f>
        <v>Diabetic Risk</v>
      </c>
      <c r="N83" s="1" t="s">
        <v>20</v>
      </c>
      <c r="O83" s="1">
        <v>202</v>
      </c>
      <c r="P83" s="1" t="s">
        <v>14</v>
      </c>
      <c r="Q83" s="4" t="s">
        <v>16</v>
      </c>
      <c r="R83" s="1" t="str" cm="1">
        <f t="array" ref="R8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3" s="1">
        <f>IFERROR(Table1[[#This Row],[Cholesterol]]/Table1[[#This Row],[Max_Heart_Rate]],"")</f>
        <v>1.5247524752475248</v>
      </c>
    </row>
    <row r="84" spans="1:19">
      <c r="A84" s="3" t="s">
        <v>104</v>
      </c>
      <c r="B84" s="3" t="str">
        <f>RIGHT(Table1[[#This Row],[Patient_ID]],4)</f>
        <v>1082</v>
      </c>
      <c r="C84" s="1">
        <v>36</v>
      </c>
      <c r="D84" s="1" t="str">
        <f>VLOOKUP(Table1[[#This Row],[Age]],'Lookup &amp; Reference'!$G$2:$H$5,2,1)</f>
        <v>Low</v>
      </c>
      <c r="E84" s="1" t="s">
        <v>18</v>
      </c>
      <c r="F84" s="1" t="str">
        <f>_xlfn.CONCAT(LEFT(Table1[[#This Row],[Gender]],1),Table1[[#This Row],[Age]])</f>
        <v>M36</v>
      </c>
      <c r="G84" s="1" t="s">
        <v>19</v>
      </c>
      <c r="H84" s="1">
        <f>LEN(Table1[[#This Row],[Chest_Pain_Type]])</f>
        <v>14</v>
      </c>
      <c r="I84" s="1">
        <v>105</v>
      </c>
      <c r="J84" s="1" t="str" cm="1">
        <f t="array" ref="J8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84" s="1">
        <v>267</v>
      </c>
      <c r="L84" s="1" t="s">
        <v>16</v>
      </c>
      <c r="M84" s="1" t="str">
        <f>IF(Table1[[#This Row],[Fasting_Blood_Sugar]]="Yes","Diabetic Risk","Normal")</f>
        <v>Diabetic Risk</v>
      </c>
      <c r="N84" s="1" t="s">
        <v>20</v>
      </c>
      <c r="O84" s="1">
        <v>174</v>
      </c>
      <c r="P84" s="1" t="s">
        <v>14</v>
      </c>
      <c r="Q84" s="4" t="s">
        <v>16</v>
      </c>
      <c r="R84" s="1" t="str" cm="1">
        <f t="array" ref="R8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4" s="1">
        <f>IFERROR(Table1[[#This Row],[Cholesterol]]/Table1[[#This Row],[Max_Heart_Rate]],"")</f>
        <v>1.5344827586206897</v>
      </c>
    </row>
    <row r="85" spans="1:19">
      <c r="A85" s="3" t="s">
        <v>105</v>
      </c>
      <c r="B85" s="3" t="str">
        <f>RIGHT(Table1[[#This Row],[Patient_ID]],4)</f>
        <v>1083</v>
      </c>
      <c r="C85" s="1">
        <v>42</v>
      </c>
      <c r="D85" s="1" t="str">
        <f>VLOOKUP(Table1[[#This Row],[Age]],'Lookup &amp; Reference'!$G$2:$H$5,2,1)</f>
        <v>Low</v>
      </c>
      <c r="E85" s="1" t="s">
        <v>12</v>
      </c>
      <c r="F85" s="1" t="str">
        <f>_xlfn.CONCAT(LEFT(Table1[[#This Row],[Gender]],1),Table1[[#This Row],[Age]])</f>
        <v>F42</v>
      </c>
      <c r="G85" s="1" t="s">
        <v>22</v>
      </c>
      <c r="H85" s="1">
        <f>LEN(Table1[[#This Row],[Chest_Pain_Type]])</f>
        <v>15</v>
      </c>
      <c r="I85" s="1">
        <v>131</v>
      </c>
      <c r="J85" s="1" t="str" cm="1">
        <f t="array" ref="J8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85" s="1">
        <v>233</v>
      </c>
      <c r="L85" s="1" t="s">
        <v>16</v>
      </c>
      <c r="M85" s="1" t="str">
        <f>IF(Table1[[#This Row],[Fasting_Blood_Sugar]]="Yes","Diabetic Risk","Normal")</f>
        <v>Diabetic Risk</v>
      </c>
      <c r="N85" s="1" t="s">
        <v>15</v>
      </c>
      <c r="O85" s="1">
        <v>135</v>
      </c>
      <c r="P85" s="1" t="s">
        <v>16</v>
      </c>
      <c r="Q85" s="4" t="s">
        <v>14</v>
      </c>
      <c r="R85" s="1" t="str" cm="1">
        <f t="array" ref="R8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5" s="1">
        <f>IFERROR(Table1[[#This Row],[Cholesterol]]/Table1[[#This Row],[Max_Heart_Rate]],"")</f>
        <v>1.7259259259259259</v>
      </c>
    </row>
    <row r="86" spans="1:19">
      <c r="A86" s="3" t="s">
        <v>106</v>
      </c>
      <c r="B86" s="3" t="str">
        <f>RIGHT(Table1[[#This Row],[Patient_ID]],4)</f>
        <v>1084</v>
      </c>
      <c r="C86" s="1">
        <v>51</v>
      </c>
      <c r="D86" s="1" t="str">
        <f>VLOOKUP(Table1[[#This Row],[Age]],'Lookup &amp; Reference'!$G$2:$H$5,2,1)</f>
        <v>Medium</v>
      </c>
      <c r="E86" s="1" t="s">
        <v>12</v>
      </c>
      <c r="F86" s="1" t="str">
        <f>_xlfn.CONCAT(LEFT(Table1[[#This Row],[Gender]],1),Table1[[#This Row],[Age]])</f>
        <v>F51</v>
      </c>
      <c r="G86" s="1" t="s">
        <v>19</v>
      </c>
      <c r="H86" s="1">
        <f>LEN(Table1[[#This Row],[Chest_Pain_Type]])</f>
        <v>14</v>
      </c>
      <c r="I86" s="1">
        <v>155</v>
      </c>
      <c r="J86" s="1" t="str" cm="1">
        <f t="array" ref="J8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86" s="1">
        <v>197</v>
      </c>
      <c r="L86" s="1" t="s">
        <v>16</v>
      </c>
      <c r="M86" s="1" t="str">
        <f>IF(Table1[[#This Row],[Fasting_Blood_Sugar]]="Yes","Diabetic Risk","Normal")</f>
        <v>Diabetic Risk</v>
      </c>
      <c r="N86" s="1" t="s">
        <v>20</v>
      </c>
      <c r="O86" s="1">
        <v>197</v>
      </c>
      <c r="P86" s="1" t="s">
        <v>14</v>
      </c>
      <c r="Q86" s="4" t="s">
        <v>14</v>
      </c>
      <c r="R86" s="1" t="str" cm="1">
        <f t="array" ref="R8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6" s="1">
        <f>IFERROR(Table1[[#This Row],[Cholesterol]]/Table1[[#This Row],[Max_Heart_Rate]],"")</f>
        <v>1</v>
      </c>
    </row>
    <row r="87" spans="1:19">
      <c r="A87" s="3" t="s">
        <v>107</v>
      </c>
      <c r="B87" s="3" t="str">
        <f>RIGHT(Table1[[#This Row],[Patient_ID]],4)</f>
        <v>1085</v>
      </c>
      <c r="C87" s="1">
        <v>68</v>
      </c>
      <c r="D87" s="1" t="str">
        <f>VLOOKUP(Table1[[#This Row],[Age]],'Lookup &amp; Reference'!$G$2:$H$5,2,1)</f>
        <v>High</v>
      </c>
      <c r="E87" s="1" t="s">
        <v>18</v>
      </c>
      <c r="F87" s="1" t="str">
        <f>_xlfn.CONCAT(LEFT(Table1[[#This Row],[Gender]],1),Table1[[#This Row],[Age]])</f>
        <v>M68</v>
      </c>
      <c r="G87" s="1" t="s">
        <v>22</v>
      </c>
      <c r="H87" s="1">
        <f>LEN(Table1[[#This Row],[Chest_Pain_Type]])</f>
        <v>15</v>
      </c>
      <c r="I87" s="1">
        <v>144</v>
      </c>
      <c r="J87" s="1" t="str" cm="1">
        <f t="array" ref="J8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87" s="1">
        <v>249</v>
      </c>
      <c r="L87" s="1" t="s">
        <v>14</v>
      </c>
      <c r="M87" s="1" t="str">
        <f>IF(Table1[[#This Row],[Fasting_Blood_Sugar]]="Yes","Diabetic Risk","Normal")</f>
        <v>Normal</v>
      </c>
      <c r="N87" s="1" t="s">
        <v>15</v>
      </c>
      <c r="O87" s="1">
        <v>110</v>
      </c>
      <c r="P87" s="1" t="s">
        <v>14</v>
      </c>
      <c r="Q87" s="4" t="s">
        <v>16</v>
      </c>
      <c r="R87" s="1" t="str" cm="1">
        <f t="array" ref="R8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87" s="1">
        <f>IFERROR(Table1[[#This Row],[Cholesterol]]/Table1[[#This Row],[Max_Heart_Rate]],"")</f>
        <v>2.2636363636363637</v>
      </c>
    </row>
    <row r="88" spans="1:19">
      <c r="A88" s="3" t="s">
        <v>108</v>
      </c>
      <c r="B88" s="3" t="str">
        <f>RIGHT(Table1[[#This Row],[Patient_ID]],4)</f>
        <v>1086</v>
      </c>
      <c r="C88" s="1">
        <v>49</v>
      </c>
      <c r="D88" s="1" t="str">
        <f>VLOOKUP(Table1[[#This Row],[Age]],'Lookup &amp; Reference'!$G$2:$H$5,2,1)</f>
        <v>Medium</v>
      </c>
      <c r="E88" s="1" t="s">
        <v>12</v>
      </c>
      <c r="F88" s="1" t="str">
        <f>_xlfn.CONCAT(LEFT(Table1[[#This Row],[Gender]],1),Table1[[#This Row],[Age]])</f>
        <v>F49</v>
      </c>
      <c r="G88" s="1" t="s">
        <v>25</v>
      </c>
      <c r="H88" s="1">
        <f>LEN(Table1[[#This Row],[Chest_Pain_Type]])</f>
        <v>12</v>
      </c>
      <c r="I88" s="1">
        <v>188</v>
      </c>
      <c r="J88" s="1" t="str" cm="1">
        <f t="array" ref="J8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88" s="1">
        <v>320</v>
      </c>
      <c r="L88" s="1" t="s">
        <v>14</v>
      </c>
      <c r="M88" s="1" t="str">
        <f>IF(Table1[[#This Row],[Fasting_Blood_Sugar]]="Yes","Diabetic Risk","Normal")</f>
        <v>Normal</v>
      </c>
      <c r="N88" s="1" t="s">
        <v>15</v>
      </c>
      <c r="O88" s="1">
        <v>133</v>
      </c>
      <c r="P88" s="1" t="s">
        <v>16</v>
      </c>
      <c r="Q88" s="4" t="s">
        <v>14</v>
      </c>
      <c r="R88" s="1" t="str" cm="1">
        <f t="array" ref="R8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8" s="1">
        <f>IFERROR(Table1[[#This Row],[Cholesterol]]/Table1[[#This Row],[Max_Heart_Rate]],"")</f>
        <v>2.4060150375939848</v>
      </c>
    </row>
    <row r="89" spans="1:19">
      <c r="A89" s="3" t="s">
        <v>109</v>
      </c>
      <c r="B89" s="3" t="str">
        <f>RIGHT(Table1[[#This Row],[Patient_ID]],4)</f>
        <v>1087</v>
      </c>
      <c r="C89" s="1">
        <v>44</v>
      </c>
      <c r="D89" s="1" t="str">
        <f>VLOOKUP(Table1[[#This Row],[Age]],'Lookup &amp; Reference'!$G$2:$H$5,2,1)</f>
        <v>Low</v>
      </c>
      <c r="E89" s="1" t="s">
        <v>18</v>
      </c>
      <c r="F89" s="1" t="str">
        <f>_xlfn.CONCAT(LEFT(Table1[[#This Row],[Gender]],1),Table1[[#This Row],[Age]])</f>
        <v>M44</v>
      </c>
      <c r="G89" s="1" t="s">
        <v>25</v>
      </c>
      <c r="H89" s="1">
        <f>LEN(Table1[[#This Row],[Chest_Pain_Type]])</f>
        <v>12</v>
      </c>
      <c r="I89" s="1">
        <v>131</v>
      </c>
      <c r="J89" s="1" t="str" cm="1">
        <f t="array" ref="J8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89" s="1">
        <v>156</v>
      </c>
      <c r="L89" s="1" t="s">
        <v>14</v>
      </c>
      <c r="M89" s="1" t="str">
        <f>IF(Table1[[#This Row],[Fasting_Blood_Sugar]]="Yes","Diabetic Risk","Normal")</f>
        <v>Normal</v>
      </c>
      <c r="N89" s="1" t="s">
        <v>20</v>
      </c>
      <c r="O89" s="1">
        <v>100</v>
      </c>
      <c r="P89" s="1" t="s">
        <v>14</v>
      </c>
      <c r="Q89" s="4" t="s">
        <v>14</v>
      </c>
      <c r="R89" s="1" t="str" cm="1">
        <f t="array" ref="R8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89" s="1">
        <f>IFERROR(Table1[[#This Row],[Cholesterol]]/Table1[[#This Row],[Max_Heart_Rate]],"")</f>
        <v>1.56</v>
      </c>
    </row>
    <row r="90" spans="1:19">
      <c r="A90" s="3" t="s">
        <v>110</v>
      </c>
      <c r="B90" s="3" t="str">
        <f>RIGHT(Table1[[#This Row],[Patient_ID]],4)</f>
        <v>1088</v>
      </c>
      <c r="C90" s="1">
        <v>73</v>
      </c>
      <c r="D90" s="1" t="str">
        <f>VLOOKUP(Table1[[#This Row],[Age]],'Lookup &amp; Reference'!$G$2:$H$5,2,1)</f>
        <v>High</v>
      </c>
      <c r="E90" s="1" t="s">
        <v>12</v>
      </c>
      <c r="F90" s="1" t="str">
        <f>_xlfn.CONCAT(LEFT(Table1[[#This Row],[Gender]],1),Table1[[#This Row],[Age]])</f>
        <v>F73</v>
      </c>
      <c r="G90" s="1" t="s">
        <v>13</v>
      </c>
      <c r="H90" s="1">
        <f>LEN(Table1[[#This Row],[Chest_Pain_Type]])</f>
        <v>11</v>
      </c>
      <c r="I90" s="1">
        <v>123</v>
      </c>
      <c r="J90" s="1" t="str" cm="1">
        <f t="array" ref="J9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90" s="1">
        <v>139</v>
      </c>
      <c r="L90" s="1" t="s">
        <v>16</v>
      </c>
      <c r="M90" s="1" t="str">
        <f>IF(Table1[[#This Row],[Fasting_Blood_Sugar]]="Yes","Diabetic Risk","Normal")</f>
        <v>Diabetic Risk</v>
      </c>
      <c r="N90" s="1" t="s">
        <v>20</v>
      </c>
      <c r="O90" s="1">
        <v>192</v>
      </c>
      <c r="P90" s="1" t="s">
        <v>16</v>
      </c>
      <c r="Q90" s="4" t="s">
        <v>16</v>
      </c>
      <c r="R90" s="1" t="str" cm="1">
        <f t="array" ref="R9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90" s="1">
        <f>IFERROR(Table1[[#This Row],[Cholesterol]]/Table1[[#This Row],[Max_Heart_Rate]],"")</f>
        <v>0.72395833333333337</v>
      </c>
    </row>
    <row r="91" spans="1:19">
      <c r="A91" s="3" t="s">
        <v>111</v>
      </c>
      <c r="B91" s="3" t="str">
        <f>RIGHT(Table1[[#This Row],[Patient_ID]],4)</f>
        <v>1089</v>
      </c>
      <c r="C91" s="1">
        <v>46</v>
      </c>
      <c r="D91" s="1" t="str">
        <f>VLOOKUP(Table1[[#This Row],[Age]],'Lookup &amp; Reference'!$G$2:$H$5,2,1)</f>
        <v>Medium</v>
      </c>
      <c r="E91" s="1" t="s">
        <v>12</v>
      </c>
      <c r="F91" s="1" t="str">
        <f>_xlfn.CONCAT(LEFT(Table1[[#This Row],[Gender]],1),Table1[[#This Row],[Age]])</f>
        <v>F46</v>
      </c>
      <c r="G91" s="1" t="s">
        <v>25</v>
      </c>
      <c r="H91" s="1">
        <f>LEN(Table1[[#This Row],[Chest_Pain_Type]])</f>
        <v>12</v>
      </c>
      <c r="I91" s="1">
        <v>119</v>
      </c>
      <c r="J91" s="1" t="str" cm="1">
        <f t="array" ref="J9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91" s="1">
        <v>145</v>
      </c>
      <c r="L91" s="1" t="s">
        <v>16</v>
      </c>
      <c r="M91" s="1" t="str">
        <f>IF(Table1[[#This Row],[Fasting_Blood_Sugar]]="Yes","Diabetic Risk","Normal")</f>
        <v>Diabetic Risk</v>
      </c>
      <c r="N91" s="1" t="s">
        <v>15</v>
      </c>
      <c r="O91" s="1">
        <v>157</v>
      </c>
      <c r="P91" s="1" t="s">
        <v>14</v>
      </c>
      <c r="Q91" s="4" t="s">
        <v>14</v>
      </c>
      <c r="R91" s="1" t="str" cm="1">
        <f t="array" ref="R9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91" s="1">
        <f>IFERROR(Table1[[#This Row],[Cholesterol]]/Table1[[#This Row],[Max_Heart_Rate]],"")</f>
        <v>0.92356687898089174</v>
      </c>
    </row>
    <row r="92" spans="1:19">
      <c r="A92" s="3" t="s">
        <v>112</v>
      </c>
      <c r="B92" s="3" t="str">
        <f>RIGHT(Table1[[#This Row],[Patient_ID]],4)</f>
        <v>1090</v>
      </c>
      <c r="C92" s="1">
        <v>75</v>
      </c>
      <c r="D92" s="1" t="str">
        <f>VLOOKUP(Table1[[#This Row],[Age]],'Lookup &amp; Reference'!$G$2:$H$5,2,1)</f>
        <v>High</v>
      </c>
      <c r="E92" s="1" t="s">
        <v>18</v>
      </c>
      <c r="F92" s="1" t="str">
        <f>_xlfn.CONCAT(LEFT(Table1[[#This Row],[Gender]],1),Table1[[#This Row],[Age]])</f>
        <v>M75</v>
      </c>
      <c r="G92" s="1" t="s">
        <v>22</v>
      </c>
      <c r="H92" s="1">
        <f>LEN(Table1[[#This Row],[Chest_Pain_Type]])</f>
        <v>15</v>
      </c>
      <c r="I92" s="1">
        <v>102</v>
      </c>
      <c r="J92" s="1" t="str" cm="1">
        <f t="array" ref="J9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92" s="1">
        <v>148</v>
      </c>
      <c r="L92" s="1" t="s">
        <v>16</v>
      </c>
      <c r="M92" s="1" t="str">
        <f>IF(Table1[[#This Row],[Fasting_Blood_Sugar]]="Yes","Diabetic Risk","Normal")</f>
        <v>Diabetic Risk</v>
      </c>
      <c r="N92" s="1" t="s">
        <v>20</v>
      </c>
      <c r="O92" s="1">
        <v>204</v>
      </c>
      <c r="P92" s="1" t="s">
        <v>16</v>
      </c>
      <c r="Q92" s="4" t="s">
        <v>16</v>
      </c>
      <c r="R92" s="1" t="str" cm="1">
        <f t="array" ref="R9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92" s="1">
        <f>IFERROR(Table1[[#This Row],[Cholesterol]]/Table1[[#This Row],[Max_Heart_Rate]],"")</f>
        <v>0.72549019607843135</v>
      </c>
    </row>
    <row r="93" spans="1:19">
      <c r="A93" s="3" t="s">
        <v>113</v>
      </c>
      <c r="B93" s="3" t="str">
        <f>RIGHT(Table1[[#This Row],[Patient_ID]],4)</f>
        <v>1091</v>
      </c>
      <c r="C93" s="1">
        <v>52</v>
      </c>
      <c r="D93" s="1" t="str">
        <f>VLOOKUP(Table1[[#This Row],[Age]],'Lookup &amp; Reference'!$G$2:$H$5,2,1)</f>
        <v>Medium</v>
      </c>
      <c r="E93" s="1" t="s">
        <v>18</v>
      </c>
      <c r="F93" s="1" t="str">
        <f>_xlfn.CONCAT(LEFT(Table1[[#This Row],[Gender]],1),Table1[[#This Row],[Age]])</f>
        <v>M52</v>
      </c>
      <c r="G93" s="1" t="s">
        <v>25</v>
      </c>
      <c r="H93" s="1">
        <f>LEN(Table1[[#This Row],[Chest_Pain_Type]])</f>
        <v>12</v>
      </c>
      <c r="I93" s="1">
        <v>102</v>
      </c>
      <c r="J93" s="1" t="str" cm="1">
        <f t="array" ref="J9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93" s="1">
        <v>120</v>
      </c>
      <c r="L93" s="1" t="s">
        <v>14</v>
      </c>
      <c r="M93" s="1" t="str">
        <f>IF(Table1[[#This Row],[Fasting_Blood_Sugar]]="Yes","Diabetic Risk","Normal")</f>
        <v>Normal</v>
      </c>
      <c r="N93" s="1" t="s">
        <v>20</v>
      </c>
      <c r="O93" s="1">
        <v>90</v>
      </c>
      <c r="P93" s="1" t="s">
        <v>14</v>
      </c>
      <c r="Q93" s="4" t="s">
        <v>16</v>
      </c>
      <c r="R93" s="1" t="str" cm="1">
        <f t="array" ref="R9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93" s="1">
        <f>IFERROR(Table1[[#This Row],[Cholesterol]]/Table1[[#This Row],[Max_Heart_Rate]],"")</f>
        <v>1.3333333333333333</v>
      </c>
    </row>
    <row r="94" spans="1:19">
      <c r="A94" s="3" t="s">
        <v>114</v>
      </c>
      <c r="B94" s="3" t="str">
        <f>RIGHT(Table1[[#This Row],[Patient_ID]],4)</f>
        <v>1092</v>
      </c>
      <c r="C94" s="1">
        <v>54</v>
      </c>
      <c r="D94" s="1" t="str">
        <f>VLOOKUP(Table1[[#This Row],[Age]],'Lookup &amp; Reference'!$G$2:$H$5,2,1)</f>
        <v>Medium</v>
      </c>
      <c r="E94" s="1" t="s">
        <v>18</v>
      </c>
      <c r="F94" s="1" t="str">
        <f>_xlfn.CONCAT(LEFT(Table1[[#This Row],[Gender]],1),Table1[[#This Row],[Age]])</f>
        <v>M54</v>
      </c>
      <c r="G94" s="1" t="s">
        <v>13</v>
      </c>
      <c r="H94" s="1">
        <f>LEN(Table1[[#This Row],[Chest_Pain_Type]])</f>
        <v>11</v>
      </c>
      <c r="I94" s="1">
        <v>107</v>
      </c>
      <c r="J94" s="1" t="str" cm="1">
        <f t="array" ref="J9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94" s="1">
        <v>238</v>
      </c>
      <c r="L94" s="1" t="s">
        <v>16</v>
      </c>
      <c r="M94" s="1" t="str">
        <f>IF(Table1[[#This Row],[Fasting_Blood_Sugar]]="Yes","Diabetic Risk","Normal")</f>
        <v>Diabetic Risk</v>
      </c>
      <c r="N94" s="1" t="s">
        <v>20</v>
      </c>
      <c r="O94" s="1">
        <v>181</v>
      </c>
      <c r="P94" s="1" t="s">
        <v>16</v>
      </c>
      <c r="Q94" s="4" t="s">
        <v>14</v>
      </c>
      <c r="R94" s="1" t="str" cm="1">
        <f t="array" ref="R9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94" s="1">
        <f>IFERROR(Table1[[#This Row],[Cholesterol]]/Table1[[#This Row],[Max_Heart_Rate]],"")</f>
        <v>1.3149171270718232</v>
      </c>
    </row>
    <row r="95" spans="1:19">
      <c r="A95" s="3" t="s">
        <v>115</v>
      </c>
      <c r="B95" s="3" t="str">
        <f>RIGHT(Table1[[#This Row],[Patient_ID]],4)</f>
        <v>1093</v>
      </c>
      <c r="C95" s="1">
        <v>53</v>
      </c>
      <c r="D95" s="1" t="str">
        <f>VLOOKUP(Table1[[#This Row],[Age]],'Lookup &amp; Reference'!$G$2:$H$5,2,1)</f>
        <v>Medium</v>
      </c>
      <c r="E95" s="1" t="s">
        <v>12</v>
      </c>
      <c r="F95" s="1" t="str">
        <f>_xlfn.CONCAT(LEFT(Table1[[#This Row],[Gender]],1),Table1[[#This Row],[Age]])</f>
        <v>F53</v>
      </c>
      <c r="G95" s="1" t="s">
        <v>19</v>
      </c>
      <c r="H95" s="1">
        <f>LEN(Table1[[#This Row],[Chest_Pain_Type]])</f>
        <v>14</v>
      </c>
      <c r="I95" s="1">
        <v>121</v>
      </c>
      <c r="J95" s="1" t="str" cm="1">
        <f t="array" ref="J9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95" s="1">
        <v>154</v>
      </c>
      <c r="L95" s="1" t="s">
        <v>14</v>
      </c>
      <c r="M95" s="1" t="str">
        <f>IF(Table1[[#This Row],[Fasting_Blood_Sugar]]="Yes","Diabetic Risk","Normal")</f>
        <v>Normal</v>
      </c>
      <c r="N95" s="1" t="s">
        <v>27</v>
      </c>
      <c r="O95" s="1">
        <v>152</v>
      </c>
      <c r="P95" s="1" t="s">
        <v>14</v>
      </c>
      <c r="Q95" s="4" t="s">
        <v>16</v>
      </c>
      <c r="R95" s="1" t="str" cm="1">
        <f t="array" ref="R9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95" s="1">
        <f>IFERROR(Table1[[#This Row],[Cholesterol]]/Table1[[#This Row],[Max_Heart_Rate]],"")</f>
        <v>1.013157894736842</v>
      </c>
    </row>
    <row r="96" spans="1:19">
      <c r="A96" s="3" t="s">
        <v>116</v>
      </c>
      <c r="B96" s="3" t="str">
        <f>RIGHT(Table1[[#This Row],[Patient_ID]],4)</f>
        <v>1094</v>
      </c>
      <c r="C96" s="1">
        <v>73</v>
      </c>
      <c r="D96" s="1" t="str">
        <f>VLOOKUP(Table1[[#This Row],[Age]],'Lookup &amp; Reference'!$G$2:$H$5,2,1)</f>
        <v>High</v>
      </c>
      <c r="E96" s="1" t="s">
        <v>18</v>
      </c>
      <c r="F96" s="1" t="str">
        <f>_xlfn.CONCAT(LEFT(Table1[[#This Row],[Gender]],1),Table1[[#This Row],[Age]])</f>
        <v>M73</v>
      </c>
      <c r="G96" s="1" t="s">
        <v>22</v>
      </c>
      <c r="H96" s="1">
        <f>LEN(Table1[[#This Row],[Chest_Pain_Type]])</f>
        <v>15</v>
      </c>
      <c r="I96" s="1">
        <v>185</v>
      </c>
      <c r="J96" s="1" t="str" cm="1">
        <f t="array" ref="J9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96" s="1">
        <v>317</v>
      </c>
      <c r="L96" s="1" t="s">
        <v>16</v>
      </c>
      <c r="M96" s="1" t="str">
        <f>IF(Table1[[#This Row],[Fasting_Blood_Sugar]]="Yes","Diabetic Risk","Normal")</f>
        <v>Diabetic Risk</v>
      </c>
      <c r="N96" s="1" t="s">
        <v>15</v>
      </c>
      <c r="O96" s="1">
        <v>113</v>
      </c>
      <c r="P96" s="1" t="s">
        <v>16</v>
      </c>
      <c r="Q96" s="4" t="s">
        <v>16</v>
      </c>
      <c r="R96" s="1" t="str" cm="1">
        <f t="array" ref="R9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96" s="1">
        <f>IFERROR(Table1[[#This Row],[Cholesterol]]/Table1[[#This Row],[Max_Heart_Rate]],"")</f>
        <v>2.8053097345132745</v>
      </c>
    </row>
    <row r="97" spans="1:19">
      <c r="A97" s="3" t="s">
        <v>117</v>
      </c>
      <c r="B97" s="3" t="str">
        <f>RIGHT(Table1[[#This Row],[Patient_ID]],4)</f>
        <v>1095</v>
      </c>
      <c r="C97" s="1">
        <v>69</v>
      </c>
      <c r="D97" s="1" t="str">
        <f>VLOOKUP(Table1[[#This Row],[Age]],'Lookup &amp; Reference'!$G$2:$H$5,2,1)</f>
        <v>High</v>
      </c>
      <c r="E97" s="1" t="s">
        <v>12</v>
      </c>
      <c r="F97" s="1" t="str">
        <f>_xlfn.CONCAT(LEFT(Table1[[#This Row],[Gender]],1),Table1[[#This Row],[Age]])</f>
        <v>F69</v>
      </c>
      <c r="G97" s="1" t="s">
        <v>19</v>
      </c>
      <c r="H97" s="1">
        <f>LEN(Table1[[#This Row],[Chest_Pain_Type]])</f>
        <v>14</v>
      </c>
      <c r="I97" s="1">
        <v>188</v>
      </c>
      <c r="J97" s="1" t="str" cm="1">
        <f t="array" ref="J9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97" s="1">
        <v>348</v>
      </c>
      <c r="L97" s="1" t="s">
        <v>14</v>
      </c>
      <c r="M97" s="1" t="str">
        <f>IF(Table1[[#This Row],[Fasting_Blood_Sugar]]="Yes","Diabetic Risk","Normal")</f>
        <v>Normal</v>
      </c>
      <c r="N97" s="1" t="s">
        <v>27</v>
      </c>
      <c r="O97" s="1">
        <v>188</v>
      </c>
      <c r="P97" s="1" t="s">
        <v>14</v>
      </c>
      <c r="Q97" s="4" t="s">
        <v>14</v>
      </c>
      <c r="R97" s="1" t="str" cm="1">
        <f t="array" ref="R9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97" s="1">
        <f>IFERROR(Table1[[#This Row],[Cholesterol]]/Table1[[#This Row],[Max_Heart_Rate]],"")</f>
        <v>1.8510638297872339</v>
      </c>
    </row>
    <row r="98" spans="1:19">
      <c r="A98" s="3" t="s">
        <v>118</v>
      </c>
      <c r="B98" s="3" t="str">
        <f>RIGHT(Table1[[#This Row],[Patient_ID]],4)</f>
        <v>1096</v>
      </c>
      <c r="C98" s="1">
        <v>57</v>
      </c>
      <c r="D98" s="1" t="str">
        <f>VLOOKUP(Table1[[#This Row],[Age]],'Lookup &amp; Reference'!$G$2:$H$5,2,1)</f>
        <v>Medium</v>
      </c>
      <c r="E98" s="1" t="s">
        <v>12</v>
      </c>
      <c r="F98" s="1" t="str">
        <f>_xlfn.CONCAT(LEFT(Table1[[#This Row],[Gender]],1),Table1[[#This Row],[Age]])</f>
        <v>F57</v>
      </c>
      <c r="G98" s="1" t="s">
        <v>13</v>
      </c>
      <c r="H98" s="1">
        <f>LEN(Table1[[#This Row],[Chest_Pain_Type]])</f>
        <v>11</v>
      </c>
      <c r="I98" s="1">
        <v>128</v>
      </c>
      <c r="J98" s="1" t="str" cm="1">
        <f t="array" ref="J9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98" s="1">
        <v>178</v>
      </c>
      <c r="L98" s="1" t="s">
        <v>14</v>
      </c>
      <c r="M98" s="1" t="str">
        <f>IF(Table1[[#This Row],[Fasting_Blood_Sugar]]="Yes","Diabetic Risk","Normal")</f>
        <v>Normal</v>
      </c>
      <c r="N98" s="1" t="s">
        <v>20</v>
      </c>
      <c r="O98" s="1">
        <v>102</v>
      </c>
      <c r="P98" s="1" t="s">
        <v>14</v>
      </c>
      <c r="Q98" s="4" t="s">
        <v>14</v>
      </c>
      <c r="R98" s="1" t="str" cm="1">
        <f t="array" ref="R9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98" s="1">
        <f>IFERROR(Table1[[#This Row],[Cholesterol]]/Table1[[#This Row],[Max_Heart_Rate]],"")</f>
        <v>1.7450980392156863</v>
      </c>
    </row>
    <row r="99" spans="1:19">
      <c r="A99" s="3" t="s">
        <v>119</v>
      </c>
      <c r="B99" s="3" t="str">
        <f>RIGHT(Table1[[#This Row],[Patient_ID]],4)</f>
        <v>1097</v>
      </c>
      <c r="C99" s="1">
        <v>43</v>
      </c>
      <c r="D99" s="1" t="str">
        <f>VLOOKUP(Table1[[#This Row],[Age]],'Lookup &amp; Reference'!$G$2:$H$5,2,1)</f>
        <v>Low</v>
      </c>
      <c r="E99" s="1" t="s">
        <v>18</v>
      </c>
      <c r="F99" s="1" t="str">
        <f>_xlfn.CONCAT(LEFT(Table1[[#This Row],[Gender]],1),Table1[[#This Row],[Age]])</f>
        <v>M43</v>
      </c>
      <c r="G99" s="1" t="s">
        <v>13</v>
      </c>
      <c r="H99" s="1">
        <f>LEN(Table1[[#This Row],[Chest_Pain_Type]])</f>
        <v>11</v>
      </c>
      <c r="I99" s="1">
        <v>135</v>
      </c>
      <c r="J99" s="1" t="str" cm="1">
        <f t="array" ref="J9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99" s="1">
        <v>188</v>
      </c>
      <c r="L99" s="1" t="s">
        <v>16</v>
      </c>
      <c r="M99" s="1" t="str">
        <f>IF(Table1[[#This Row],[Fasting_Blood_Sugar]]="Yes","Diabetic Risk","Normal")</f>
        <v>Diabetic Risk</v>
      </c>
      <c r="N99" s="1" t="s">
        <v>27</v>
      </c>
      <c r="O99" s="1">
        <v>200</v>
      </c>
      <c r="P99" s="1" t="s">
        <v>14</v>
      </c>
      <c r="Q99" s="4" t="s">
        <v>14</v>
      </c>
      <c r="R99" s="1" t="str" cm="1">
        <f t="array" ref="R9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99" s="1">
        <f>IFERROR(Table1[[#This Row],[Cholesterol]]/Table1[[#This Row],[Max_Heart_Rate]],"")</f>
        <v>0.94</v>
      </c>
    </row>
    <row r="100" spans="1:19">
      <c r="A100" s="3" t="s">
        <v>120</v>
      </c>
      <c r="B100" s="3" t="str">
        <f>RIGHT(Table1[[#This Row],[Patient_ID]],4)</f>
        <v>1098</v>
      </c>
      <c r="C100" s="1">
        <v>73</v>
      </c>
      <c r="D100" s="1" t="str">
        <f>VLOOKUP(Table1[[#This Row],[Age]],'Lookup &amp; Reference'!$G$2:$H$5,2,1)</f>
        <v>High</v>
      </c>
      <c r="E100" s="1" t="s">
        <v>18</v>
      </c>
      <c r="F100" s="1" t="str">
        <f>_xlfn.CONCAT(LEFT(Table1[[#This Row],[Gender]],1),Table1[[#This Row],[Age]])</f>
        <v>M73</v>
      </c>
      <c r="G100" s="1" t="s">
        <v>13</v>
      </c>
      <c r="H100" s="1">
        <f>LEN(Table1[[#This Row],[Chest_Pain_Type]])</f>
        <v>11</v>
      </c>
      <c r="I100" s="1">
        <v>118</v>
      </c>
      <c r="J100" s="1" t="str" cm="1">
        <f t="array" ref="J10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00" s="1">
        <v>280</v>
      </c>
      <c r="L100" s="1" t="s">
        <v>16</v>
      </c>
      <c r="M100" s="1" t="str">
        <f>IF(Table1[[#This Row],[Fasting_Blood_Sugar]]="Yes","Diabetic Risk","Normal")</f>
        <v>Diabetic Risk</v>
      </c>
      <c r="N100" s="1" t="s">
        <v>20</v>
      </c>
      <c r="O100" s="1">
        <v>187</v>
      </c>
      <c r="P100" s="1" t="s">
        <v>14</v>
      </c>
      <c r="Q100" s="4" t="s">
        <v>16</v>
      </c>
      <c r="R100" s="1" t="str" cm="1">
        <f t="array" ref="R10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00" s="1">
        <f>IFERROR(Table1[[#This Row],[Cholesterol]]/Table1[[#This Row],[Max_Heart_Rate]],"")</f>
        <v>1.4973262032085561</v>
      </c>
    </row>
    <row r="101" spans="1:19">
      <c r="A101" s="3" t="s">
        <v>121</v>
      </c>
      <c r="B101" s="3" t="str">
        <f>RIGHT(Table1[[#This Row],[Patient_ID]],4)</f>
        <v>1099</v>
      </c>
      <c r="C101" s="1">
        <v>29</v>
      </c>
      <c r="D101" s="1" t="e">
        <f>VLOOKUP(Table1[[#This Row],[Age]],'Lookup &amp; Reference'!$G$2:$H$5,2,1)</f>
        <v>#N/A</v>
      </c>
      <c r="E101" s="1" t="s">
        <v>12</v>
      </c>
      <c r="F101" s="1" t="str">
        <f>_xlfn.CONCAT(LEFT(Table1[[#This Row],[Gender]],1),Table1[[#This Row],[Age]])</f>
        <v>F29</v>
      </c>
      <c r="G101" s="1" t="s">
        <v>19</v>
      </c>
      <c r="H101" s="1">
        <f>LEN(Table1[[#This Row],[Chest_Pain_Type]])</f>
        <v>14</v>
      </c>
      <c r="I101" s="1">
        <v>151</v>
      </c>
      <c r="J101" s="1" t="str" cm="1">
        <f t="array" ref="J10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01" s="1">
        <v>298</v>
      </c>
      <c r="L101" s="1" t="s">
        <v>14</v>
      </c>
      <c r="M101" s="1" t="str">
        <f>IF(Table1[[#This Row],[Fasting_Blood_Sugar]]="Yes","Diabetic Risk","Normal")</f>
        <v>Normal</v>
      </c>
      <c r="N101" s="1" t="s">
        <v>27</v>
      </c>
      <c r="O101" s="1">
        <v>100</v>
      </c>
      <c r="P101" s="1" t="s">
        <v>14</v>
      </c>
      <c r="Q101" s="4" t="s">
        <v>16</v>
      </c>
      <c r="R101" s="1" t="str" cm="1">
        <f t="array" ref="R10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1" s="1">
        <f>IFERROR(Table1[[#This Row],[Cholesterol]]/Table1[[#This Row],[Max_Heart_Rate]],"")</f>
        <v>2.98</v>
      </c>
    </row>
    <row r="102" spans="1:19">
      <c r="A102" s="3" t="s">
        <v>122</v>
      </c>
      <c r="B102" s="3" t="str">
        <f>RIGHT(Table1[[#This Row],[Patient_ID]],4)</f>
        <v>1100</v>
      </c>
      <c r="C102" s="1">
        <v>53</v>
      </c>
      <c r="D102" s="1" t="str">
        <f>VLOOKUP(Table1[[#This Row],[Age]],'Lookup &amp; Reference'!$G$2:$H$5,2,1)</f>
        <v>Medium</v>
      </c>
      <c r="E102" s="1" t="s">
        <v>12</v>
      </c>
      <c r="F102" s="1" t="str">
        <f>_xlfn.CONCAT(LEFT(Table1[[#This Row],[Gender]],1),Table1[[#This Row],[Age]])</f>
        <v>F53</v>
      </c>
      <c r="G102" s="1" t="s">
        <v>19</v>
      </c>
      <c r="H102" s="1">
        <f>LEN(Table1[[#This Row],[Chest_Pain_Type]])</f>
        <v>14</v>
      </c>
      <c r="I102" s="1">
        <v>182</v>
      </c>
      <c r="J102" s="1" t="str" cm="1">
        <f t="array" ref="J10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02" s="1">
        <v>325</v>
      </c>
      <c r="L102" s="1" t="s">
        <v>14</v>
      </c>
      <c r="M102" s="1" t="str">
        <f>IF(Table1[[#This Row],[Fasting_Blood_Sugar]]="Yes","Diabetic Risk","Normal")</f>
        <v>Normal</v>
      </c>
      <c r="N102" s="1" t="s">
        <v>20</v>
      </c>
      <c r="O102" s="1">
        <v>189</v>
      </c>
      <c r="P102" s="1" t="s">
        <v>14</v>
      </c>
      <c r="Q102" s="4" t="s">
        <v>14</v>
      </c>
      <c r="R102" s="1" t="str" cm="1">
        <f t="array" ref="R10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2" s="1">
        <f>IFERROR(Table1[[#This Row],[Cholesterol]]/Table1[[#This Row],[Max_Heart_Rate]],"")</f>
        <v>1.7195767195767195</v>
      </c>
    </row>
    <row r="103" spans="1:19">
      <c r="A103" s="3" t="s">
        <v>123</v>
      </c>
      <c r="B103" s="3" t="str">
        <f>RIGHT(Table1[[#This Row],[Patient_ID]],4)</f>
        <v>1101</v>
      </c>
      <c r="C103" s="1">
        <v>35</v>
      </c>
      <c r="D103" s="1" t="str">
        <f>VLOOKUP(Table1[[#This Row],[Age]],'Lookup &amp; Reference'!$G$2:$H$5,2,1)</f>
        <v>Low</v>
      </c>
      <c r="E103" s="1" t="s">
        <v>18</v>
      </c>
      <c r="F103" s="1" t="str">
        <f>_xlfn.CONCAT(LEFT(Table1[[#This Row],[Gender]],1),Table1[[#This Row],[Age]])</f>
        <v>M35</v>
      </c>
      <c r="G103" s="1" t="s">
        <v>19</v>
      </c>
      <c r="H103" s="1">
        <f>LEN(Table1[[#This Row],[Chest_Pain_Type]])</f>
        <v>14</v>
      </c>
      <c r="I103" s="1">
        <v>151</v>
      </c>
      <c r="J103" s="1" t="str" cm="1">
        <f t="array" ref="J10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03" s="1">
        <v>131</v>
      </c>
      <c r="L103" s="1" t="s">
        <v>16</v>
      </c>
      <c r="M103" s="1" t="str">
        <f>IF(Table1[[#This Row],[Fasting_Blood_Sugar]]="Yes","Diabetic Risk","Normal")</f>
        <v>Diabetic Risk</v>
      </c>
      <c r="N103" s="1" t="s">
        <v>27</v>
      </c>
      <c r="O103" s="1">
        <v>140</v>
      </c>
      <c r="P103" s="1" t="s">
        <v>14</v>
      </c>
      <c r="Q103" s="4" t="s">
        <v>16</v>
      </c>
      <c r="R103" s="1" t="str" cm="1">
        <f t="array" ref="R10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3" s="1">
        <f>IFERROR(Table1[[#This Row],[Cholesterol]]/Table1[[#This Row],[Max_Heart_Rate]],"")</f>
        <v>0.93571428571428572</v>
      </c>
    </row>
    <row r="104" spans="1:19">
      <c r="A104" s="3" t="s">
        <v>124</v>
      </c>
      <c r="B104" s="3" t="str">
        <f>RIGHT(Table1[[#This Row],[Patient_ID]],4)</f>
        <v>1102</v>
      </c>
      <c r="C104" s="1">
        <v>37</v>
      </c>
      <c r="D104" s="1" t="str">
        <f>VLOOKUP(Table1[[#This Row],[Age]],'Lookup &amp; Reference'!$G$2:$H$5,2,1)</f>
        <v>Low</v>
      </c>
      <c r="E104" s="1" t="s">
        <v>18</v>
      </c>
      <c r="F104" s="1" t="str">
        <f>_xlfn.CONCAT(LEFT(Table1[[#This Row],[Gender]],1),Table1[[#This Row],[Age]])</f>
        <v>M37</v>
      </c>
      <c r="G104" s="1" t="s">
        <v>19</v>
      </c>
      <c r="H104" s="1">
        <f>LEN(Table1[[#This Row],[Chest_Pain_Type]])</f>
        <v>14</v>
      </c>
      <c r="I104" s="1">
        <v>146</v>
      </c>
      <c r="J104" s="1" t="str" cm="1">
        <f t="array" ref="J10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04" s="1">
        <v>139</v>
      </c>
      <c r="L104" s="1" t="s">
        <v>16</v>
      </c>
      <c r="M104" s="1" t="str">
        <f>IF(Table1[[#This Row],[Fasting_Blood_Sugar]]="Yes","Diabetic Risk","Normal")</f>
        <v>Diabetic Risk</v>
      </c>
      <c r="N104" s="1" t="s">
        <v>27</v>
      </c>
      <c r="O104" s="1">
        <v>106</v>
      </c>
      <c r="P104" s="1" t="s">
        <v>14</v>
      </c>
      <c r="Q104" s="4" t="s">
        <v>14</v>
      </c>
      <c r="R104" s="1" t="str" cm="1">
        <f t="array" ref="R10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4" s="1">
        <f>IFERROR(Table1[[#This Row],[Cholesterol]]/Table1[[#This Row],[Max_Heart_Rate]],"")</f>
        <v>1.3113207547169812</v>
      </c>
    </row>
    <row r="105" spans="1:19">
      <c r="A105" s="3" t="s">
        <v>125</v>
      </c>
      <c r="B105" s="3" t="str">
        <f>RIGHT(Table1[[#This Row],[Patient_ID]],4)</f>
        <v>1103</v>
      </c>
      <c r="C105" s="1">
        <v>52</v>
      </c>
      <c r="D105" s="1" t="str">
        <f>VLOOKUP(Table1[[#This Row],[Age]],'Lookup &amp; Reference'!$G$2:$H$5,2,1)</f>
        <v>Medium</v>
      </c>
      <c r="E105" s="1" t="s">
        <v>18</v>
      </c>
      <c r="F105" s="1" t="str">
        <f>_xlfn.CONCAT(LEFT(Table1[[#This Row],[Gender]],1),Table1[[#This Row],[Age]])</f>
        <v>M52</v>
      </c>
      <c r="G105" s="1" t="s">
        <v>13</v>
      </c>
      <c r="H105" s="1">
        <f>LEN(Table1[[#This Row],[Chest_Pain_Type]])</f>
        <v>11</v>
      </c>
      <c r="I105" s="1">
        <v>105</v>
      </c>
      <c r="J105" s="1" t="str" cm="1">
        <f t="array" ref="J10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05" s="1">
        <v>300</v>
      </c>
      <c r="L105" s="1" t="s">
        <v>14</v>
      </c>
      <c r="M105" s="1" t="str">
        <f>IF(Table1[[#This Row],[Fasting_Blood_Sugar]]="Yes","Diabetic Risk","Normal")</f>
        <v>Normal</v>
      </c>
      <c r="N105" s="1" t="s">
        <v>27</v>
      </c>
      <c r="O105" s="1">
        <v>188</v>
      </c>
      <c r="P105" s="1" t="s">
        <v>14</v>
      </c>
      <c r="Q105" s="4" t="s">
        <v>14</v>
      </c>
      <c r="R105" s="1" t="str" cm="1">
        <f t="array" ref="R10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5" s="1">
        <f>IFERROR(Table1[[#This Row],[Cholesterol]]/Table1[[#This Row],[Max_Heart_Rate]],"")</f>
        <v>1.5957446808510638</v>
      </c>
    </row>
    <row r="106" spans="1:19">
      <c r="A106" s="3" t="s">
        <v>126</v>
      </c>
      <c r="B106" s="3" t="str">
        <f>RIGHT(Table1[[#This Row],[Patient_ID]],4)</f>
        <v>1104</v>
      </c>
      <c r="C106" s="1">
        <v>29</v>
      </c>
      <c r="D106" s="1" t="e">
        <f>VLOOKUP(Table1[[#This Row],[Age]],'Lookup &amp; Reference'!$G$2:$H$5,2,1)</f>
        <v>#N/A</v>
      </c>
      <c r="E106" s="1" t="s">
        <v>18</v>
      </c>
      <c r="F106" s="1" t="str">
        <f>_xlfn.CONCAT(LEFT(Table1[[#This Row],[Gender]],1),Table1[[#This Row],[Age]])</f>
        <v>M29</v>
      </c>
      <c r="G106" s="1" t="s">
        <v>13</v>
      </c>
      <c r="H106" s="1">
        <f>LEN(Table1[[#This Row],[Chest_Pain_Type]])</f>
        <v>11</v>
      </c>
      <c r="I106" s="1">
        <v>145</v>
      </c>
      <c r="J106" s="1" t="str" cm="1">
        <f t="array" ref="J10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06" s="1">
        <v>335</v>
      </c>
      <c r="L106" s="1" t="s">
        <v>16</v>
      </c>
      <c r="M106" s="1" t="str">
        <f>IF(Table1[[#This Row],[Fasting_Blood_Sugar]]="Yes","Diabetic Risk","Normal")</f>
        <v>Diabetic Risk</v>
      </c>
      <c r="N106" s="1" t="s">
        <v>15</v>
      </c>
      <c r="O106" s="1">
        <v>171</v>
      </c>
      <c r="P106" s="1" t="s">
        <v>16</v>
      </c>
      <c r="Q106" s="4" t="s">
        <v>16</v>
      </c>
      <c r="R106" s="1" t="str" cm="1">
        <f t="array" ref="R10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6" s="1">
        <f>IFERROR(Table1[[#This Row],[Cholesterol]]/Table1[[#This Row],[Max_Heart_Rate]],"")</f>
        <v>1.9590643274853801</v>
      </c>
    </row>
    <row r="107" spans="1:19">
      <c r="A107" s="3" t="s">
        <v>127</v>
      </c>
      <c r="B107" s="3" t="str">
        <f>RIGHT(Table1[[#This Row],[Patient_ID]],4)</f>
        <v>1105</v>
      </c>
      <c r="C107" s="1">
        <v>72</v>
      </c>
      <c r="D107" s="1" t="str">
        <f>VLOOKUP(Table1[[#This Row],[Age]],'Lookup &amp; Reference'!$G$2:$H$5,2,1)</f>
        <v>High</v>
      </c>
      <c r="E107" s="1" t="s">
        <v>18</v>
      </c>
      <c r="F107" s="1" t="str">
        <f>_xlfn.CONCAT(LEFT(Table1[[#This Row],[Gender]],1),Table1[[#This Row],[Age]])</f>
        <v>M72</v>
      </c>
      <c r="G107" s="1" t="s">
        <v>22</v>
      </c>
      <c r="H107" s="1">
        <f>LEN(Table1[[#This Row],[Chest_Pain_Type]])</f>
        <v>15</v>
      </c>
      <c r="I107" s="1">
        <v>99</v>
      </c>
      <c r="J107" s="1" t="str" cm="1">
        <f t="array" ref="J10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07" s="1">
        <v>162</v>
      </c>
      <c r="L107" s="1" t="s">
        <v>14</v>
      </c>
      <c r="M107" s="1" t="str">
        <f>IF(Table1[[#This Row],[Fasting_Blood_Sugar]]="Yes","Diabetic Risk","Normal")</f>
        <v>Normal</v>
      </c>
      <c r="N107" s="1" t="s">
        <v>27</v>
      </c>
      <c r="O107" s="1">
        <v>193</v>
      </c>
      <c r="P107" s="1" t="s">
        <v>16</v>
      </c>
      <c r="Q107" s="4" t="s">
        <v>14</v>
      </c>
      <c r="R107" s="1" t="str" cm="1">
        <f t="array" ref="R10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7" s="1">
        <f>IFERROR(Table1[[#This Row],[Cholesterol]]/Table1[[#This Row],[Max_Heart_Rate]],"")</f>
        <v>0.8393782383419689</v>
      </c>
    </row>
    <row r="108" spans="1:19">
      <c r="A108" s="3" t="s">
        <v>128</v>
      </c>
      <c r="B108" s="3" t="str">
        <f>RIGHT(Table1[[#This Row],[Patient_ID]],4)</f>
        <v>1106</v>
      </c>
      <c r="C108" s="1">
        <v>36</v>
      </c>
      <c r="D108" s="1" t="str">
        <f>VLOOKUP(Table1[[#This Row],[Age]],'Lookup &amp; Reference'!$G$2:$H$5,2,1)</f>
        <v>Low</v>
      </c>
      <c r="E108" s="1" t="s">
        <v>12</v>
      </c>
      <c r="F108" s="1" t="str">
        <f>_xlfn.CONCAT(LEFT(Table1[[#This Row],[Gender]],1),Table1[[#This Row],[Age]])</f>
        <v>F36</v>
      </c>
      <c r="G108" s="1" t="s">
        <v>22</v>
      </c>
      <c r="H108" s="1">
        <f>LEN(Table1[[#This Row],[Chest_Pain_Type]])</f>
        <v>15</v>
      </c>
      <c r="I108" s="1">
        <v>119</v>
      </c>
      <c r="J108" s="1" t="str" cm="1">
        <f t="array" ref="J10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08" s="1">
        <v>245</v>
      </c>
      <c r="L108" s="1" t="s">
        <v>14</v>
      </c>
      <c r="M108" s="1" t="str">
        <f>IF(Table1[[#This Row],[Fasting_Blood_Sugar]]="Yes","Diabetic Risk","Normal")</f>
        <v>Normal</v>
      </c>
      <c r="N108" s="1" t="s">
        <v>15</v>
      </c>
      <c r="O108" s="1">
        <v>175</v>
      </c>
      <c r="P108" s="1" t="s">
        <v>14</v>
      </c>
      <c r="Q108" s="4" t="s">
        <v>16</v>
      </c>
      <c r="R108" s="1" t="str" cm="1">
        <f t="array" ref="R10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08" s="1">
        <f>IFERROR(Table1[[#This Row],[Cholesterol]]/Table1[[#This Row],[Max_Heart_Rate]],"")</f>
        <v>1.4</v>
      </c>
    </row>
    <row r="109" spans="1:19">
      <c r="A109" s="3" t="s">
        <v>129</v>
      </c>
      <c r="B109" s="3" t="str">
        <f>RIGHT(Table1[[#This Row],[Patient_ID]],4)</f>
        <v>1107</v>
      </c>
      <c r="C109" s="1">
        <v>52</v>
      </c>
      <c r="D109" s="1" t="str">
        <f>VLOOKUP(Table1[[#This Row],[Age]],'Lookup &amp; Reference'!$G$2:$H$5,2,1)</f>
        <v>Medium</v>
      </c>
      <c r="E109" s="1" t="s">
        <v>12</v>
      </c>
      <c r="F109" s="1" t="str">
        <f>_xlfn.CONCAT(LEFT(Table1[[#This Row],[Gender]],1),Table1[[#This Row],[Age]])</f>
        <v>F52</v>
      </c>
      <c r="G109" s="1" t="s">
        <v>19</v>
      </c>
      <c r="H109" s="1">
        <f>LEN(Table1[[#This Row],[Chest_Pain_Type]])</f>
        <v>14</v>
      </c>
      <c r="I109" s="1">
        <v>114</v>
      </c>
      <c r="J109" s="1" t="str" cm="1">
        <f t="array" ref="J10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09" s="1">
        <v>345</v>
      </c>
      <c r="L109" s="1" t="s">
        <v>16</v>
      </c>
      <c r="M109" s="1" t="str">
        <f>IF(Table1[[#This Row],[Fasting_Blood_Sugar]]="Yes","Diabetic Risk","Normal")</f>
        <v>Diabetic Risk</v>
      </c>
      <c r="N109" s="1" t="s">
        <v>20</v>
      </c>
      <c r="O109" s="1">
        <v>113</v>
      </c>
      <c r="P109" s="1" t="s">
        <v>16</v>
      </c>
      <c r="Q109" s="4" t="s">
        <v>16</v>
      </c>
      <c r="R109" s="1" t="str" cm="1">
        <f t="array" ref="R10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09" s="1">
        <f>IFERROR(Table1[[#This Row],[Cholesterol]]/Table1[[#This Row],[Max_Heart_Rate]],"")</f>
        <v>3.0530973451327434</v>
      </c>
    </row>
    <row r="110" spans="1:19">
      <c r="A110" s="3" t="s">
        <v>130</v>
      </c>
      <c r="B110" s="3" t="str">
        <f>RIGHT(Table1[[#This Row],[Patient_ID]],4)</f>
        <v>1108</v>
      </c>
      <c r="C110" s="1">
        <v>39</v>
      </c>
      <c r="D110" s="1" t="str">
        <f>VLOOKUP(Table1[[#This Row],[Age]],'Lookup &amp; Reference'!$G$2:$H$5,2,1)</f>
        <v>Low</v>
      </c>
      <c r="E110" s="1" t="s">
        <v>12</v>
      </c>
      <c r="F110" s="1" t="str">
        <f>_xlfn.CONCAT(LEFT(Table1[[#This Row],[Gender]],1),Table1[[#This Row],[Age]])</f>
        <v>F39</v>
      </c>
      <c r="G110" s="1" t="s">
        <v>25</v>
      </c>
      <c r="H110" s="1">
        <f>LEN(Table1[[#This Row],[Chest_Pain_Type]])</f>
        <v>12</v>
      </c>
      <c r="I110" s="1">
        <v>173</v>
      </c>
      <c r="J110" s="1" t="str" cm="1">
        <f t="array" ref="J11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10" s="1">
        <v>336</v>
      </c>
      <c r="L110" s="1" t="s">
        <v>16</v>
      </c>
      <c r="M110" s="1" t="str">
        <f>IF(Table1[[#This Row],[Fasting_Blood_Sugar]]="Yes","Diabetic Risk","Normal")</f>
        <v>Diabetic Risk</v>
      </c>
      <c r="N110" s="1" t="s">
        <v>27</v>
      </c>
      <c r="O110" s="1">
        <v>108</v>
      </c>
      <c r="P110" s="1" t="s">
        <v>14</v>
      </c>
      <c r="Q110" s="4" t="s">
        <v>14</v>
      </c>
      <c r="R110" s="1" t="str" cm="1">
        <f t="array" ref="R11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10" s="1">
        <f>IFERROR(Table1[[#This Row],[Cholesterol]]/Table1[[#This Row],[Max_Heart_Rate]],"")</f>
        <v>3.1111111111111112</v>
      </c>
    </row>
    <row r="111" spans="1:19">
      <c r="A111" s="3" t="s">
        <v>131</v>
      </c>
      <c r="B111" s="3" t="str">
        <f>RIGHT(Table1[[#This Row],[Patient_ID]],4)</f>
        <v>1109</v>
      </c>
      <c r="C111" s="1">
        <v>79</v>
      </c>
      <c r="D111" s="1" t="str">
        <f>VLOOKUP(Table1[[#This Row],[Age]],'Lookup &amp; Reference'!$G$2:$H$5,2,1)</f>
        <v>High</v>
      </c>
      <c r="E111" s="1" t="s">
        <v>12</v>
      </c>
      <c r="F111" s="1" t="str">
        <f>_xlfn.CONCAT(LEFT(Table1[[#This Row],[Gender]],1),Table1[[#This Row],[Age]])</f>
        <v>F79</v>
      </c>
      <c r="G111" s="1" t="s">
        <v>25</v>
      </c>
      <c r="H111" s="1">
        <f>LEN(Table1[[#This Row],[Chest_Pain_Type]])</f>
        <v>12</v>
      </c>
      <c r="I111" s="1">
        <v>94</v>
      </c>
      <c r="J111" s="1" t="str" cm="1">
        <f t="array" ref="J11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11" s="1">
        <v>169</v>
      </c>
      <c r="L111" s="1" t="s">
        <v>16</v>
      </c>
      <c r="M111" s="1" t="str">
        <f>IF(Table1[[#This Row],[Fasting_Blood_Sugar]]="Yes","Diabetic Risk","Normal")</f>
        <v>Diabetic Risk</v>
      </c>
      <c r="N111" s="1" t="s">
        <v>20</v>
      </c>
      <c r="O111" s="1">
        <v>126</v>
      </c>
      <c r="P111" s="1" t="s">
        <v>14</v>
      </c>
      <c r="Q111" s="4" t="s">
        <v>16</v>
      </c>
      <c r="R111" s="1" t="str" cm="1">
        <f t="array" ref="R11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11" s="1">
        <f>IFERROR(Table1[[#This Row],[Cholesterol]]/Table1[[#This Row],[Max_Heart_Rate]],"")</f>
        <v>1.3412698412698412</v>
      </c>
    </row>
    <row r="112" spans="1:19">
      <c r="A112" s="3" t="s">
        <v>132</v>
      </c>
      <c r="B112" s="3" t="str">
        <f>RIGHT(Table1[[#This Row],[Patient_ID]],4)</f>
        <v>1110</v>
      </c>
      <c r="C112" s="1">
        <v>45</v>
      </c>
      <c r="D112" s="1" t="str">
        <f>VLOOKUP(Table1[[#This Row],[Age]],'Lookup &amp; Reference'!$G$2:$H$5,2,1)</f>
        <v>Medium</v>
      </c>
      <c r="E112" s="1" t="s">
        <v>18</v>
      </c>
      <c r="F112" s="1" t="str">
        <f>_xlfn.CONCAT(LEFT(Table1[[#This Row],[Gender]],1),Table1[[#This Row],[Age]])</f>
        <v>M45</v>
      </c>
      <c r="G112" s="1" t="s">
        <v>13</v>
      </c>
      <c r="H112" s="1">
        <f>LEN(Table1[[#This Row],[Chest_Pain_Type]])</f>
        <v>11</v>
      </c>
      <c r="I112" s="1">
        <v>154</v>
      </c>
      <c r="J112" s="1" t="str" cm="1">
        <f t="array" ref="J11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12" s="1">
        <v>148</v>
      </c>
      <c r="L112" s="1" t="s">
        <v>16</v>
      </c>
      <c r="M112" s="1" t="str">
        <f>IF(Table1[[#This Row],[Fasting_Blood_Sugar]]="Yes","Diabetic Risk","Normal")</f>
        <v>Diabetic Risk</v>
      </c>
      <c r="N112" s="1" t="s">
        <v>20</v>
      </c>
      <c r="O112" s="1">
        <v>192</v>
      </c>
      <c r="P112" s="1" t="s">
        <v>16</v>
      </c>
      <c r="Q112" s="4" t="s">
        <v>14</v>
      </c>
      <c r="R112" s="1" t="str" cm="1">
        <f t="array" ref="R11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12" s="1">
        <f>IFERROR(Table1[[#This Row],[Cholesterol]]/Table1[[#This Row],[Max_Heart_Rate]],"")</f>
        <v>0.77083333333333337</v>
      </c>
    </row>
    <row r="113" spans="1:19">
      <c r="A113" s="3" t="s">
        <v>133</v>
      </c>
      <c r="B113" s="3" t="str">
        <f>RIGHT(Table1[[#This Row],[Patient_ID]],4)</f>
        <v>1111</v>
      </c>
      <c r="C113" s="1">
        <v>36</v>
      </c>
      <c r="D113" s="1" t="str">
        <f>VLOOKUP(Table1[[#This Row],[Age]],'Lookup &amp; Reference'!$G$2:$H$5,2,1)</f>
        <v>Low</v>
      </c>
      <c r="E113" s="1" t="s">
        <v>18</v>
      </c>
      <c r="F113" s="1" t="str">
        <f>_xlfn.CONCAT(LEFT(Table1[[#This Row],[Gender]],1),Table1[[#This Row],[Age]])</f>
        <v>M36</v>
      </c>
      <c r="G113" s="1" t="s">
        <v>13</v>
      </c>
      <c r="H113" s="1">
        <f>LEN(Table1[[#This Row],[Chest_Pain_Type]])</f>
        <v>11</v>
      </c>
      <c r="I113" s="1">
        <v>183</v>
      </c>
      <c r="J113" s="1" t="str" cm="1">
        <f t="array" ref="J11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13" s="1">
        <v>304</v>
      </c>
      <c r="L113" s="1" t="s">
        <v>16</v>
      </c>
      <c r="M113" s="1" t="str">
        <f>IF(Table1[[#This Row],[Fasting_Blood_Sugar]]="Yes","Diabetic Risk","Normal")</f>
        <v>Diabetic Risk</v>
      </c>
      <c r="N113" s="1" t="s">
        <v>27</v>
      </c>
      <c r="O113" s="1">
        <v>174</v>
      </c>
      <c r="P113" s="1" t="s">
        <v>14</v>
      </c>
      <c r="Q113" s="4" t="s">
        <v>16</v>
      </c>
      <c r="R113" s="1" t="str" cm="1">
        <f t="array" ref="R11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13" s="1">
        <f>IFERROR(Table1[[#This Row],[Cholesterol]]/Table1[[#This Row],[Max_Heart_Rate]],"")</f>
        <v>1.7471264367816093</v>
      </c>
    </row>
    <row r="114" spans="1:19">
      <c r="A114" s="3" t="s">
        <v>134</v>
      </c>
      <c r="B114" s="3" t="str">
        <f>RIGHT(Table1[[#This Row],[Patient_ID]],4)</f>
        <v>1112</v>
      </c>
      <c r="C114" s="1">
        <v>63</v>
      </c>
      <c r="D114" s="1" t="str">
        <f>VLOOKUP(Table1[[#This Row],[Age]],'Lookup &amp; Reference'!$G$2:$H$5,2,1)</f>
        <v>High</v>
      </c>
      <c r="E114" s="1" t="s">
        <v>18</v>
      </c>
      <c r="F114" s="1" t="str">
        <f>_xlfn.CONCAT(LEFT(Table1[[#This Row],[Gender]],1),Table1[[#This Row],[Age]])</f>
        <v>M63</v>
      </c>
      <c r="G114" s="1" t="s">
        <v>13</v>
      </c>
      <c r="H114" s="1">
        <f>LEN(Table1[[#This Row],[Chest_Pain_Type]])</f>
        <v>11</v>
      </c>
      <c r="I114" s="1">
        <v>138</v>
      </c>
      <c r="J114" s="1" t="str" cm="1">
        <f t="array" ref="J11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14" s="1">
        <v>158</v>
      </c>
      <c r="L114" s="1" t="s">
        <v>14</v>
      </c>
      <c r="M114" s="1" t="str">
        <f>IF(Table1[[#This Row],[Fasting_Blood_Sugar]]="Yes","Diabetic Risk","Normal")</f>
        <v>Normal</v>
      </c>
      <c r="N114" s="1" t="s">
        <v>15</v>
      </c>
      <c r="O114" s="1">
        <v>97</v>
      </c>
      <c r="P114" s="1" t="s">
        <v>14</v>
      </c>
      <c r="Q114" s="4" t="s">
        <v>16</v>
      </c>
      <c r="R114" s="1" t="str" cm="1">
        <f t="array" ref="R11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14" s="1">
        <f>IFERROR(Table1[[#This Row],[Cholesterol]]/Table1[[#This Row],[Max_Heart_Rate]],"")</f>
        <v>1.6288659793814433</v>
      </c>
    </row>
    <row r="115" spans="1:19">
      <c r="A115" s="3" t="s">
        <v>135</v>
      </c>
      <c r="B115" s="3" t="str">
        <f>RIGHT(Table1[[#This Row],[Patient_ID]],4)</f>
        <v>1113</v>
      </c>
      <c r="C115" s="1">
        <v>63</v>
      </c>
      <c r="D115" s="1" t="str">
        <f>VLOOKUP(Table1[[#This Row],[Age]],'Lookup &amp; Reference'!$G$2:$H$5,2,1)</f>
        <v>High</v>
      </c>
      <c r="E115" s="1" t="s">
        <v>12</v>
      </c>
      <c r="F115" s="1" t="str">
        <f>_xlfn.CONCAT(LEFT(Table1[[#This Row],[Gender]],1),Table1[[#This Row],[Age]])</f>
        <v>F63</v>
      </c>
      <c r="G115" s="1" t="s">
        <v>22</v>
      </c>
      <c r="H115" s="1">
        <f>LEN(Table1[[#This Row],[Chest_Pain_Type]])</f>
        <v>15</v>
      </c>
      <c r="I115" s="1">
        <v>92</v>
      </c>
      <c r="J115" s="1" t="str" cm="1">
        <f t="array" ref="J11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15" s="1">
        <v>342</v>
      </c>
      <c r="L115" s="1" t="s">
        <v>14</v>
      </c>
      <c r="M115" s="1" t="str">
        <f>IF(Table1[[#This Row],[Fasting_Blood_Sugar]]="Yes","Diabetic Risk","Normal")</f>
        <v>Normal</v>
      </c>
      <c r="N115" s="1" t="s">
        <v>27</v>
      </c>
      <c r="O115" s="1">
        <v>117</v>
      </c>
      <c r="P115" s="1" t="s">
        <v>16</v>
      </c>
      <c r="Q115" s="4" t="s">
        <v>16</v>
      </c>
      <c r="R115" s="1" t="str" cm="1">
        <f t="array" ref="R11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15" s="1">
        <f>IFERROR(Table1[[#This Row],[Cholesterol]]/Table1[[#This Row],[Max_Heart_Rate]],"")</f>
        <v>2.9230769230769229</v>
      </c>
    </row>
    <row r="116" spans="1:19">
      <c r="A116" s="3" t="s">
        <v>136</v>
      </c>
      <c r="B116" s="3" t="str">
        <f>RIGHT(Table1[[#This Row],[Patient_ID]],4)</f>
        <v>1114</v>
      </c>
      <c r="C116" s="1">
        <v>61</v>
      </c>
      <c r="D116" s="1" t="str">
        <f>VLOOKUP(Table1[[#This Row],[Age]],'Lookup &amp; Reference'!$G$2:$H$5,2,1)</f>
        <v>High</v>
      </c>
      <c r="E116" s="1" t="s">
        <v>12</v>
      </c>
      <c r="F116" s="1" t="str">
        <f>_xlfn.CONCAT(LEFT(Table1[[#This Row],[Gender]],1),Table1[[#This Row],[Age]])</f>
        <v>F61</v>
      </c>
      <c r="G116" s="1" t="s">
        <v>22</v>
      </c>
      <c r="H116" s="1">
        <f>LEN(Table1[[#This Row],[Chest_Pain_Type]])</f>
        <v>15</v>
      </c>
      <c r="I116" s="1">
        <v>134</v>
      </c>
      <c r="J116" s="1" t="str" cm="1">
        <f t="array" ref="J11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16" s="1">
        <v>303</v>
      </c>
      <c r="L116" s="1" t="s">
        <v>16</v>
      </c>
      <c r="M116" s="1" t="str">
        <f>IF(Table1[[#This Row],[Fasting_Blood_Sugar]]="Yes","Diabetic Risk","Normal")</f>
        <v>Diabetic Risk</v>
      </c>
      <c r="N116" s="1" t="s">
        <v>20</v>
      </c>
      <c r="O116" s="1">
        <v>94</v>
      </c>
      <c r="P116" s="1" t="s">
        <v>16</v>
      </c>
      <c r="Q116" s="4" t="s">
        <v>14</v>
      </c>
      <c r="R116" s="1" t="str" cm="1">
        <f t="array" ref="R11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16" s="1">
        <f>IFERROR(Table1[[#This Row],[Cholesterol]]/Table1[[#This Row],[Max_Heart_Rate]],"")</f>
        <v>3.2234042553191489</v>
      </c>
    </row>
    <row r="117" spans="1:19">
      <c r="A117" s="3" t="s">
        <v>137</v>
      </c>
      <c r="B117" s="3" t="str">
        <f>RIGHT(Table1[[#This Row],[Patient_ID]],4)</f>
        <v>1115</v>
      </c>
      <c r="C117" s="1">
        <v>33</v>
      </c>
      <c r="D117" s="1" t="str">
        <f>VLOOKUP(Table1[[#This Row],[Age]],'Lookup &amp; Reference'!$G$2:$H$5,2,1)</f>
        <v>Low</v>
      </c>
      <c r="E117" s="1" t="s">
        <v>18</v>
      </c>
      <c r="F117" s="1" t="str">
        <f>_xlfn.CONCAT(LEFT(Table1[[#This Row],[Gender]],1),Table1[[#This Row],[Age]])</f>
        <v>M33</v>
      </c>
      <c r="G117" s="1" t="s">
        <v>13</v>
      </c>
      <c r="H117" s="1">
        <f>LEN(Table1[[#This Row],[Chest_Pain_Type]])</f>
        <v>11</v>
      </c>
      <c r="I117" s="1">
        <v>103</v>
      </c>
      <c r="J117" s="1" t="str" cm="1">
        <f t="array" ref="J11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17" s="1">
        <v>290</v>
      </c>
      <c r="L117" s="1" t="s">
        <v>16</v>
      </c>
      <c r="M117" s="1" t="str">
        <f>IF(Table1[[#This Row],[Fasting_Blood_Sugar]]="Yes","Diabetic Risk","Normal")</f>
        <v>Diabetic Risk</v>
      </c>
      <c r="N117" s="1" t="s">
        <v>20</v>
      </c>
      <c r="O117" s="1">
        <v>106</v>
      </c>
      <c r="P117" s="1" t="s">
        <v>14</v>
      </c>
      <c r="Q117" s="4" t="s">
        <v>16</v>
      </c>
      <c r="R117" s="1" t="str" cm="1">
        <f t="array" ref="R11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17" s="1">
        <f>IFERROR(Table1[[#This Row],[Cholesterol]]/Table1[[#This Row],[Max_Heart_Rate]],"")</f>
        <v>2.7358490566037736</v>
      </c>
    </row>
    <row r="118" spans="1:19">
      <c r="A118" s="3" t="s">
        <v>138</v>
      </c>
      <c r="B118" s="3" t="str">
        <f>RIGHT(Table1[[#This Row],[Patient_ID]],4)</f>
        <v>1116</v>
      </c>
      <c r="C118" s="1">
        <v>70</v>
      </c>
      <c r="D118" s="1" t="str">
        <f>VLOOKUP(Table1[[#This Row],[Age]],'Lookup &amp; Reference'!$G$2:$H$5,2,1)</f>
        <v>High</v>
      </c>
      <c r="E118" s="1" t="s">
        <v>18</v>
      </c>
      <c r="F118" s="1" t="str">
        <f>_xlfn.CONCAT(LEFT(Table1[[#This Row],[Gender]],1),Table1[[#This Row],[Age]])</f>
        <v>M70</v>
      </c>
      <c r="G118" s="1" t="s">
        <v>13</v>
      </c>
      <c r="H118" s="1">
        <f>LEN(Table1[[#This Row],[Chest_Pain_Type]])</f>
        <v>11</v>
      </c>
      <c r="I118" s="1">
        <v>119</v>
      </c>
      <c r="J118" s="1" t="str" cm="1">
        <f t="array" ref="J11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18" s="1">
        <v>297</v>
      </c>
      <c r="L118" s="1" t="s">
        <v>16</v>
      </c>
      <c r="M118" s="1" t="str">
        <f>IF(Table1[[#This Row],[Fasting_Blood_Sugar]]="Yes","Diabetic Risk","Normal")</f>
        <v>Diabetic Risk</v>
      </c>
      <c r="N118" s="1" t="s">
        <v>27</v>
      </c>
      <c r="O118" s="1">
        <v>190</v>
      </c>
      <c r="P118" s="1" t="s">
        <v>16</v>
      </c>
      <c r="Q118" s="4" t="s">
        <v>14</v>
      </c>
      <c r="R118" s="1" t="str" cm="1">
        <f t="array" ref="R11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18" s="1">
        <f>IFERROR(Table1[[#This Row],[Cholesterol]]/Table1[[#This Row],[Max_Heart_Rate]],"")</f>
        <v>1.5631578947368421</v>
      </c>
    </row>
    <row r="119" spans="1:19">
      <c r="A119" s="3" t="s">
        <v>139</v>
      </c>
      <c r="B119" s="3" t="str">
        <f>RIGHT(Table1[[#This Row],[Patient_ID]],4)</f>
        <v>1117</v>
      </c>
      <c r="C119" s="1">
        <v>67</v>
      </c>
      <c r="D119" s="1" t="str">
        <f>VLOOKUP(Table1[[#This Row],[Age]],'Lookup &amp; Reference'!$G$2:$H$5,2,1)</f>
        <v>High</v>
      </c>
      <c r="E119" s="1" t="s">
        <v>12</v>
      </c>
      <c r="F119" s="1" t="str">
        <f>_xlfn.CONCAT(LEFT(Table1[[#This Row],[Gender]],1),Table1[[#This Row],[Age]])</f>
        <v>F67</v>
      </c>
      <c r="G119" s="1" t="s">
        <v>13</v>
      </c>
      <c r="H119" s="1">
        <f>LEN(Table1[[#This Row],[Chest_Pain_Type]])</f>
        <v>11</v>
      </c>
      <c r="I119" s="1">
        <v>157</v>
      </c>
      <c r="J119" s="1" t="str" cm="1">
        <f t="array" ref="J11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19" s="1">
        <v>270</v>
      </c>
      <c r="L119" s="1" t="s">
        <v>14</v>
      </c>
      <c r="M119" s="1" t="str">
        <f>IF(Table1[[#This Row],[Fasting_Blood_Sugar]]="Yes","Diabetic Risk","Normal")</f>
        <v>Normal</v>
      </c>
      <c r="N119" s="1" t="s">
        <v>15</v>
      </c>
      <c r="O119" s="1">
        <v>125</v>
      </c>
      <c r="P119" s="1" t="s">
        <v>16</v>
      </c>
      <c r="Q119" s="4" t="s">
        <v>16</v>
      </c>
      <c r="R119" s="1" t="str" cm="1">
        <f t="array" ref="R11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19" s="1">
        <f>IFERROR(Table1[[#This Row],[Cholesterol]]/Table1[[#This Row],[Max_Heart_Rate]],"")</f>
        <v>2.16</v>
      </c>
    </row>
    <row r="120" spans="1:19">
      <c r="A120" s="3" t="s">
        <v>140</v>
      </c>
      <c r="B120" s="3" t="str">
        <f>RIGHT(Table1[[#This Row],[Patient_ID]],4)</f>
        <v>1118</v>
      </c>
      <c r="C120" s="1">
        <v>69</v>
      </c>
      <c r="D120" s="1" t="str">
        <f>VLOOKUP(Table1[[#This Row],[Age]],'Lookup &amp; Reference'!$G$2:$H$5,2,1)</f>
        <v>High</v>
      </c>
      <c r="E120" s="1" t="s">
        <v>12</v>
      </c>
      <c r="F120" s="1" t="str">
        <f>_xlfn.CONCAT(LEFT(Table1[[#This Row],[Gender]],1),Table1[[#This Row],[Age]])</f>
        <v>F69</v>
      </c>
      <c r="G120" s="1" t="s">
        <v>25</v>
      </c>
      <c r="H120" s="1">
        <f>LEN(Table1[[#This Row],[Chest_Pain_Type]])</f>
        <v>12</v>
      </c>
      <c r="I120" s="1">
        <v>107</v>
      </c>
      <c r="J120" s="1" t="str" cm="1">
        <f t="array" ref="J12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20" s="1">
        <v>291</v>
      </c>
      <c r="L120" s="1" t="s">
        <v>16</v>
      </c>
      <c r="M120" s="1" t="str">
        <f>IF(Table1[[#This Row],[Fasting_Blood_Sugar]]="Yes","Diabetic Risk","Normal")</f>
        <v>Diabetic Risk</v>
      </c>
      <c r="N120" s="1" t="s">
        <v>15</v>
      </c>
      <c r="O120" s="1">
        <v>207</v>
      </c>
      <c r="P120" s="1" t="s">
        <v>14</v>
      </c>
      <c r="Q120" s="4" t="s">
        <v>16</v>
      </c>
      <c r="R120" s="1" t="str" cm="1">
        <f t="array" ref="R12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20" s="1">
        <f>IFERROR(Table1[[#This Row],[Cholesterol]]/Table1[[#This Row],[Max_Heart_Rate]],"")</f>
        <v>1.4057971014492754</v>
      </c>
    </row>
    <row r="121" spans="1:19">
      <c r="A121" s="3" t="s">
        <v>141</v>
      </c>
      <c r="B121" s="3" t="str">
        <f>RIGHT(Table1[[#This Row],[Patient_ID]],4)</f>
        <v>1119</v>
      </c>
      <c r="C121" s="1">
        <v>56</v>
      </c>
      <c r="D121" s="1" t="str">
        <f>VLOOKUP(Table1[[#This Row],[Age]],'Lookup &amp; Reference'!$G$2:$H$5,2,1)</f>
        <v>Medium</v>
      </c>
      <c r="E121" s="1" t="s">
        <v>18</v>
      </c>
      <c r="F121" s="1" t="str">
        <f>_xlfn.CONCAT(LEFT(Table1[[#This Row],[Gender]],1),Table1[[#This Row],[Age]])</f>
        <v>M56</v>
      </c>
      <c r="G121" s="1" t="s">
        <v>22</v>
      </c>
      <c r="H121" s="1">
        <f>LEN(Table1[[#This Row],[Chest_Pain_Type]])</f>
        <v>15</v>
      </c>
      <c r="I121" s="1">
        <v>151</v>
      </c>
      <c r="J121" s="1" t="str" cm="1">
        <f t="array" ref="J12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21" s="1">
        <v>157</v>
      </c>
      <c r="L121" s="1" t="s">
        <v>16</v>
      </c>
      <c r="M121" s="1" t="str">
        <f>IF(Table1[[#This Row],[Fasting_Blood_Sugar]]="Yes","Diabetic Risk","Normal")</f>
        <v>Diabetic Risk</v>
      </c>
      <c r="N121" s="1" t="s">
        <v>20</v>
      </c>
      <c r="O121" s="1">
        <v>108</v>
      </c>
      <c r="P121" s="1" t="s">
        <v>16</v>
      </c>
      <c r="Q121" s="4" t="s">
        <v>14</v>
      </c>
      <c r="R121" s="1" t="str" cm="1">
        <f t="array" ref="R12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21" s="1">
        <f>IFERROR(Table1[[#This Row],[Cholesterol]]/Table1[[#This Row],[Max_Heart_Rate]],"")</f>
        <v>1.4537037037037037</v>
      </c>
    </row>
    <row r="122" spans="1:19">
      <c r="A122" s="3" t="s">
        <v>142</v>
      </c>
      <c r="B122" s="3" t="str">
        <f>RIGHT(Table1[[#This Row],[Patient_ID]],4)</f>
        <v>1120</v>
      </c>
      <c r="C122" s="1">
        <v>35</v>
      </c>
      <c r="D122" s="1" t="str">
        <f>VLOOKUP(Table1[[#This Row],[Age]],'Lookup &amp; Reference'!$G$2:$H$5,2,1)</f>
        <v>Low</v>
      </c>
      <c r="E122" s="1" t="s">
        <v>18</v>
      </c>
      <c r="F122" s="1" t="str">
        <f>_xlfn.CONCAT(LEFT(Table1[[#This Row],[Gender]],1),Table1[[#This Row],[Age]])</f>
        <v>M35</v>
      </c>
      <c r="G122" s="1" t="s">
        <v>25</v>
      </c>
      <c r="H122" s="1">
        <f>LEN(Table1[[#This Row],[Chest_Pain_Type]])</f>
        <v>12</v>
      </c>
      <c r="I122" s="1">
        <v>126</v>
      </c>
      <c r="J122" s="1" t="str" cm="1">
        <f t="array" ref="J12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22" s="1">
        <v>203</v>
      </c>
      <c r="L122" s="1" t="s">
        <v>14</v>
      </c>
      <c r="M122" s="1" t="str">
        <f>IF(Table1[[#This Row],[Fasting_Blood_Sugar]]="Yes","Diabetic Risk","Normal")</f>
        <v>Normal</v>
      </c>
      <c r="N122" s="1" t="s">
        <v>20</v>
      </c>
      <c r="O122" s="1">
        <v>153</v>
      </c>
      <c r="P122" s="1" t="s">
        <v>16</v>
      </c>
      <c r="Q122" s="4" t="s">
        <v>14</v>
      </c>
      <c r="R122" s="1" t="str" cm="1">
        <f t="array" ref="R12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22" s="1">
        <f>IFERROR(Table1[[#This Row],[Cholesterol]]/Table1[[#This Row],[Max_Heart_Rate]],"")</f>
        <v>1.326797385620915</v>
      </c>
    </row>
    <row r="123" spans="1:19">
      <c r="A123" s="3" t="s">
        <v>143</v>
      </c>
      <c r="B123" s="3" t="str">
        <f>RIGHT(Table1[[#This Row],[Patient_ID]],4)</f>
        <v>1121</v>
      </c>
      <c r="C123" s="1">
        <v>37</v>
      </c>
      <c r="D123" s="1" t="str">
        <f>VLOOKUP(Table1[[#This Row],[Age]],'Lookup &amp; Reference'!$G$2:$H$5,2,1)</f>
        <v>Low</v>
      </c>
      <c r="E123" s="1" t="s">
        <v>12</v>
      </c>
      <c r="F123" s="1" t="str">
        <f>_xlfn.CONCAT(LEFT(Table1[[#This Row],[Gender]],1),Table1[[#This Row],[Age]])</f>
        <v>F37</v>
      </c>
      <c r="G123" s="1" t="s">
        <v>25</v>
      </c>
      <c r="H123" s="1">
        <f>LEN(Table1[[#This Row],[Chest_Pain_Type]])</f>
        <v>12</v>
      </c>
      <c r="I123" s="1">
        <v>114</v>
      </c>
      <c r="J123" s="1" t="str" cm="1">
        <f t="array" ref="J12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23" s="1">
        <v>270</v>
      </c>
      <c r="L123" s="1" t="s">
        <v>14</v>
      </c>
      <c r="M123" s="1" t="str">
        <f>IF(Table1[[#This Row],[Fasting_Blood_Sugar]]="Yes","Diabetic Risk","Normal")</f>
        <v>Normal</v>
      </c>
      <c r="N123" s="1" t="s">
        <v>15</v>
      </c>
      <c r="O123" s="1">
        <v>180</v>
      </c>
      <c r="P123" s="1" t="s">
        <v>14</v>
      </c>
      <c r="Q123" s="4" t="s">
        <v>14</v>
      </c>
      <c r="R123" s="1" t="str" cm="1">
        <f t="array" ref="R12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23" s="1">
        <f>IFERROR(Table1[[#This Row],[Cholesterol]]/Table1[[#This Row],[Max_Heart_Rate]],"")</f>
        <v>1.5</v>
      </c>
    </row>
    <row r="124" spans="1:19">
      <c r="A124" s="3" t="s">
        <v>144</v>
      </c>
      <c r="B124" s="3" t="str">
        <f>RIGHT(Table1[[#This Row],[Patient_ID]],4)</f>
        <v>1122</v>
      </c>
      <c r="C124" s="1">
        <v>36</v>
      </c>
      <c r="D124" s="1" t="str">
        <f>VLOOKUP(Table1[[#This Row],[Age]],'Lookup &amp; Reference'!$G$2:$H$5,2,1)</f>
        <v>Low</v>
      </c>
      <c r="E124" s="1" t="s">
        <v>18</v>
      </c>
      <c r="F124" s="1" t="str">
        <f>_xlfn.CONCAT(LEFT(Table1[[#This Row],[Gender]],1),Table1[[#This Row],[Age]])</f>
        <v>M36</v>
      </c>
      <c r="G124" s="1" t="s">
        <v>13</v>
      </c>
      <c r="H124" s="1">
        <f>LEN(Table1[[#This Row],[Chest_Pain_Type]])</f>
        <v>11</v>
      </c>
      <c r="I124" s="1">
        <v>137</v>
      </c>
      <c r="J124" s="1" t="str" cm="1">
        <f t="array" ref="J12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24" s="1">
        <v>247</v>
      </c>
      <c r="L124" s="1" t="s">
        <v>16</v>
      </c>
      <c r="M124" s="1" t="str">
        <f>IF(Table1[[#This Row],[Fasting_Blood_Sugar]]="Yes","Diabetic Risk","Normal")</f>
        <v>Diabetic Risk</v>
      </c>
      <c r="N124" s="1" t="s">
        <v>27</v>
      </c>
      <c r="O124" s="1">
        <v>206</v>
      </c>
      <c r="P124" s="1" t="s">
        <v>16</v>
      </c>
      <c r="Q124" s="4" t="s">
        <v>14</v>
      </c>
      <c r="R124" s="1" t="str" cm="1">
        <f t="array" ref="R12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24" s="1">
        <f>IFERROR(Table1[[#This Row],[Cholesterol]]/Table1[[#This Row],[Max_Heart_Rate]],"")</f>
        <v>1.1990291262135921</v>
      </c>
    </row>
    <row r="125" spans="1:19">
      <c r="A125" s="3" t="s">
        <v>145</v>
      </c>
      <c r="B125" s="3" t="str">
        <f>RIGHT(Table1[[#This Row],[Patient_ID]],4)</f>
        <v>1123</v>
      </c>
      <c r="C125" s="1">
        <v>40</v>
      </c>
      <c r="D125" s="1" t="str">
        <f>VLOOKUP(Table1[[#This Row],[Age]],'Lookup &amp; Reference'!$G$2:$H$5,2,1)</f>
        <v>Low</v>
      </c>
      <c r="E125" s="1" t="s">
        <v>18</v>
      </c>
      <c r="F125" s="1" t="str">
        <f>_xlfn.CONCAT(LEFT(Table1[[#This Row],[Gender]],1),Table1[[#This Row],[Age]])</f>
        <v>M40</v>
      </c>
      <c r="G125" s="1" t="s">
        <v>13</v>
      </c>
      <c r="H125" s="1">
        <f>LEN(Table1[[#This Row],[Chest_Pain_Type]])</f>
        <v>11</v>
      </c>
      <c r="I125" s="1">
        <v>154</v>
      </c>
      <c r="J125" s="1" t="str" cm="1">
        <f t="array" ref="J12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25" s="1">
        <v>245</v>
      </c>
      <c r="L125" s="1" t="s">
        <v>16</v>
      </c>
      <c r="M125" s="1" t="str">
        <f>IF(Table1[[#This Row],[Fasting_Blood_Sugar]]="Yes","Diabetic Risk","Normal")</f>
        <v>Diabetic Risk</v>
      </c>
      <c r="N125" s="1" t="s">
        <v>20</v>
      </c>
      <c r="O125" s="1">
        <v>187</v>
      </c>
      <c r="P125" s="1" t="s">
        <v>16</v>
      </c>
      <c r="Q125" s="4" t="s">
        <v>14</v>
      </c>
      <c r="R125" s="1" t="str" cm="1">
        <f t="array" ref="R12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25" s="1">
        <f>IFERROR(Table1[[#This Row],[Cholesterol]]/Table1[[#This Row],[Max_Heart_Rate]],"")</f>
        <v>1.3101604278074865</v>
      </c>
    </row>
    <row r="126" spans="1:19">
      <c r="A126" s="3" t="s">
        <v>146</v>
      </c>
      <c r="B126" s="3" t="str">
        <f>RIGHT(Table1[[#This Row],[Patient_ID]],4)</f>
        <v>1124</v>
      </c>
      <c r="C126" s="1">
        <v>62</v>
      </c>
      <c r="D126" s="1" t="str">
        <f>VLOOKUP(Table1[[#This Row],[Age]],'Lookup &amp; Reference'!$G$2:$H$5,2,1)</f>
        <v>High</v>
      </c>
      <c r="E126" s="1" t="s">
        <v>18</v>
      </c>
      <c r="F126" s="1" t="str">
        <f>_xlfn.CONCAT(LEFT(Table1[[#This Row],[Gender]],1),Table1[[#This Row],[Age]])</f>
        <v>M62</v>
      </c>
      <c r="G126" s="1" t="s">
        <v>19</v>
      </c>
      <c r="H126" s="1">
        <f>LEN(Table1[[#This Row],[Chest_Pain_Type]])</f>
        <v>14</v>
      </c>
      <c r="I126" s="1">
        <v>142</v>
      </c>
      <c r="J126" s="1" t="str" cm="1">
        <f t="array" ref="J12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26" s="1">
        <v>164</v>
      </c>
      <c r="L126" s="1" t="s">
        <v>16</v>
      </c>
      <c r="M126" s="1" t="str">
        <f>IF(Table1[[#This Row],[Fasting_Blood_Sugar]]="Yes","Diabetic Risk","Normal")</f>
        <v>Diabetic Risk</v>
      </c>
      <c r="N126" s="1" t="s">
        <v>15</v>
      </c>
      <c r="O126" s="1">
        <v>100</v>
      </c>
      <c r="P126" s="1" t="s">
        <v>14</v>
      </c>
      <c r="Q126" s="4" t="s">
        <v>16</v>
      </c>
      <c r="R126" s="1" t="str" cm="1">
        <f t="array" ref="R12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26" s="1">
        <f>IFERROR(Table1[[#This Row],[Cholesterol]]/Table1[[#This Row],[Max_Heart_Rate]],"")</f>
        <v>1.64</v>
      </c>
    </row>
    <row r="127" spans="1:19">
      <c r="A127" s="3" t="s">
        <v>147</v>
      </c>
      <c r="B127" s="3" t="str">
        <f>RIGHT(Table1[[#This Row],[Patient_ID]],4)</f>
        <v>1125</v>
      </c>
      <c r="C127" s="1">
        <v>61</v>
      </c>
      <c r="D127" s="1" t="str">
        <f>VLOOKUP(Table1[[#This Row],[Age]],'Lookup &amp; Reference'!$G$2:$H$5,2,1)</f>
        <v>High</v>
      </c>
      <c r="E127" s="1" t="s">
        <v>12</v>
      </c>
      <c r="F127" s="1" t="str">
        <f>_xlfn.CONCAT(LEFT(Table1[[#This Row],[Gender]],1),Table1[[#This Row],[Age]])</f>
        <v>F61</v>
      </c>
      <c r="G127" s="1" t="s">
        <v>19</v>
      </c>
      <c r="H127" s="1">
        <f>LEN(Table1[[#This Row],[Chest_Pain_Type]])</f>
        <v>14</v>
      </c>
      <c r="I127" s="1">
        <v>168</v>
      </c>
      <c r="J127" s="1" t="str" cm="1">
        <f t="array" ref="J12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27" s="1">
        <v>171</v>
      </c>
      <c r="L127" s="1" t="s">
        <v>14</v>
      </c>
      <c r="M127" s="1" t="str">
        <f>IF(Table1[[#This Row],[Fasting_Blood_Sugar]]="Yes","Diabetic Risk","Normal")</f>
        <v>Normal</v>
      </c>
      <c r="N127" s="1" t="s">
        <v>20</v>
      </c>
      <c r="O127" s="1">
        <v>143</v>
      </c>
      <c r="P127" s="1" t="s">
        <v>14</v>
      </c>
      <c r="Q127" s="4" t="s">
        <v>16</v>
      </c>
      <c r="R127" s="1" t="str" cm="1">
        <f t="array" ref="R12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27" s="1">
        <f>IFERROR(Table1[[#This Row],[Cholesterol]]/Table1[[#This Row],[Max_Heart_Rate]],"")</f>
        <v>1.1958041958041958</v>
      </c>
    </row>
    <row r="128" spans="1:19">
      <c r="A128" s="3" t="s">
        <v>148</v>
      </c>
      <c r="B128" s="3" t="str">
        <f>RIGHT(Table1[[#This Row],[Patient_ID]],4)</f>
        <v>1126</v>
      </c>
      <c r="C128" s="1">
        <v>76</v>
      </c>
      <c r="D128" s="1" t="str">
        <f>VLOOKUP(Table1[[#This Row],[Age]],'Lookup &amp; Reference'!$G$2:$H$5,2,1)</f>
        <v>High</v>
      </c>
      <c r="E128" s="1" t="s">
        <v>12</v>
      </c>
      <c r="F128" s="1" t="str">
        <f>_xlfn.CONCAT(LEFT(Table1[[#This Row],[Gender]],1),Table1[[#This Row],[Age]])</f>
        <v>F76</v>
      </c>
      <c r="G128" s="1" t="s">
        <v>25</v>
      </c>
      <c r="H128" s="1">
        <f>LEN(Table1[[#This Row],[Chest_Pain_Type]])</f>
        <v>12</v>
      </c>
      <c r="I128" s="1">
        <v>162</v>
      </c>
      <c r="J128" s="1" t="str" cm="1">
        <f t="array" ref="J12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28" s="1">
        <v>199</v>
      </c>
      <c r="L128" s="1" t="s">
        <v>16</v>
      </c>
      <c r="M128" s="1" t="str">
        <f>IF(Table1[[#This Row],[Fasting_Blood_Sugar]]="Yes","Diabetic Risk","Normal")</f>
        <v>Diabetic Risk</v>
      </c>
      <c r="N128" s="1" t="s">
        <v>27</v>
      </c>
      <c r="O128" s="1">
        <v>134</v>
      </c>
      <c r="P128" s="1" t="s">
        <v>14</v>
      </c>
      <c r="Q128" s="4" t="s">
        <v>14</v>
      </c>
      <c r="R128" s="1" t="str" cm="1">
        <f t="array" ref="R12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28" s="1">
        <f>IFERROR(Table1[[#This Row],[Cholesterol]]/Table1[[#This Row],[Max_Heart_Rate]],"")</f>
        <v>1.4850746268656716</v>
      </c>
    </row>
    <row r="129" spans="1:19">
      <c r="A129" s="3" t="s">
        <v>149</v>
      </c>
      <c r="B129" s="3" t="str">
        <f>RIGHT(Table1[[#This Row],[Patient_ID]],4)</f>
        <v>1127</v>
      </c>
      <c r="C129" s="1">
        <v>51</v>
      </c>
      <c r="D129" s="1" t="str">
        <f>VLOOKUP(Table1[[#This Row],[Age]],'Lookup &amp; Reference'!$G$2:$H$5,2,1)</f>
        <v>Medium</v>
      </c>
      <c r="E129" s="1" t="s">
        <v>12</v>
      </c>
      <c r="F129" s="1" t="str">
        <f>_xlfn.CONCAT(LEFT(Table1[[#This Row],[Gender]],1),Table1[[#This Row],[Age]])</f>
        <v>F51</v>
      </c>
      <c r="G129" s="1" t="s">
        <v>22</v>
      </c>
      <c r="H129" s="1">
        <f>LEN(Table1[[#This Row],[Chest_Pain_Type]])</f>
        <v>15</v>
      </c>
      <c r="I129" s="1">
        <v>104</v>
      </c>
      <c r="J129" s="1" t="str" cm="1">
        <f t="array" ref="J12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29" s="1">
        <v>297</v>
      </c>
      <c r="L129" s="1" t="s">
        <v>16</v>
      </c>
      <c r="M129" s="1" t="str">
        <f>IF(Table1[[#This Row],[Fasting_Blood_Sugar]]="Yes","Diabetic Risk","Normal")</f>
        <v>Diabetic Risk</v>
      </c>
      <c r="N129" s="1" t="s">
        <v>15</v>
      </c>
      <c r="O129" s="1">
        <v>136</v>
      </c>
      <c r="P129" s="1" t="s">
        <v>16</v>
      </c>
      <c r="Q129" s="4" t="s">
        <v>16</v>
      </c>
      <c r="R129" s="1" t="str" cm="1">
        <f t="array" ref="R12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29" s="1">
        <f>IFERROR(Table1[[#This Row],[Cholesterol]]/Table1[[#This Row],[Max_Heart_Rate]],"")</f>
        <v>2.1838235294117645</v>
      </c>
    </row>
    <row r="130" spans="1:19">
      <c r="A130" s="3" t="s">
        <v>150</v>
      </c>
      <c r="B130" s="3" t="str">
        <f>RIGHT(Table1[[#This Row],[Patient_ID]],4)</f>
        <v>1128</v>
      </c>
      <c r="C130" s="1">
        <v>52</v>
      </c>
      <c r="D130" s="1" t="str">
        <f>VLOOKUP(Table1[[#This Row],[Age]],'Lookup &amp; Reference'!$G$2:$H$5,2,1)</f>
        <v>Medium</v>
      </c>
      <c r="E130" s="1" t="s">
        <v>12</v>
      </c>
      <c r="F130" s="1" t="str">
        <f>_xlfn.CONCAT(LEFT(Table1[[#This Row],[Gender]],1),Table1[[#This Row],[Age]])</f>
        <v>F52</v>
      </c>
      <c r="G130" s="1" t="s">
        <v>13</v>
      </c>
      <c r="H130" s="1">
        <f>LEN(Table1[[#This Row],[Chest_Pain_Type]])</f>
        <v>11</v>
      </c>
      <c r="I130" s="1">
        <v>138</v>
      </c>
      <c r="J130" s="1" t="str" cm="1">
        <f t="array" ref="J13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30" s="1">
        <v>243</v>
      </c>
      <c r="L130" s="1" t="s">
        <v>16</v>
      </c>
      <c r="M130" s="1" t="str">
        <f>IF(Table1[[#This Row],[Fasting_Blood_Sugar]]="Yes","Diabetic Risk","Normal")</f>
        <v>Diabetic Risk</v>
      </c>
      <c r="N130" s="1" t="s">
        <v>20</v>
      </c>
      <c r="O130" s="1">
        <v>101</v>
      </c>
      <c r="P130" s="1" t="s">
        <v>14</v>
      </c>
      <c r="Q130" s="4" t="s">
        <v>16</v>
      </c>
      <c r="R130" s="1" t="str" cm="1">
        <f t="array" ref="R13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30" s="1">
        <f>IFERROR(Table1[[#This Row],[Cholesterol]]/Table1[[#This Row],[Max_Heart_Rate]],"")</f>
        <v>2.4059405940594059</v>
      </c>
    </row>
    <row r="131" spans="1:19">
      <c r="A131" s="3" t="s">
        <v>151</v>
      </c>
      <c r="B131" s="3" t="str">
        <f>RIGHT(Table1[[#This Row],[Patient_ID]],4)</f>
        <v>1129</v>
      </c>
      <c r="C131" s="1">
        <v>65</v>
      </c>
      <c r="D131" s="1" t="str">
        <f>VLOOKUP(Table1[[#This Row],[Age]],'Lookup &amp; Reference'!$G$2:$H$5,2,1)</f>
        <v>High</v>
      </c>
      <c r="E131" s="1" t="s">
        <v>12</v>
      </c>
      <c r="F131" s="1" t="str">
        <f>_xlfn.CONCAT(LEFT(Table1[[#This Row],[Gender]],1),Table1[[#This Row],[Age]])</f>
        <v>F65</v>
      </c>
      <c r="G131" s="1" t="s">
        <v>13</v>
      </c>
      <c r="H131" s="1">
        <f>LEN(Table1[[#This Row],[Chest_Pain_Type]])</f>
        <v>11</v>
      </c>
      <c r="I131" s="1">
        <v>177</v>
      </c>
      <c r="J131" s="1" t="str" cm="1">
        <f t="array" ref="J13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31" s="1">
        <v>238</v>
      </c>
      <c r="L131" s="1" t="s">
        <v>14</v>
      </c>
      <c r="M131" s="1" t="str">
        <f>IF(Table1[[#This Row],[Fasting_Blood_Sugar]]="Yes","Diabetic Risk","Normal")</f>
        <v>Normal</v>
      </c>
      <c r="N131" s="1" t="s">
        <v>27</v>
      </c>
      <c r="O131" s="1">
        <v>207</v>
      </c>
      <c r="P131" s="1" t="s">
        <v>14</v>
      </c>
      <c r="Q131" s="4" t="s">
        <v>16</v>
      </c>
      <c r="R131" s="1" t="str" cm="1">
        <f t="array" ref="R13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31" s="1">
        <f>IFERROR(Table1[[#This Row],[Cholesterol]]/Table1[[#This Row],[Max_Heart_Rate]],"")</f>
        <v>1.1497584541062802</v>
      </c>
    </row>
    <row r="132" spans="1:19">
      <c r="A132" s="3" t="s">
        <v>152</v>
      </c>
      <c r="B132" s="3" t="str">
        <f>RIGHT(Table1[[#This Row],[Patient_ID]],4)</f>
        <v>1130</v>
      </c>
      <c r="C132" s="1">
        <v>63</v>
      </c>
      <c r="D132" s="1" t="str">
        <f>VLOOKUP(Table1[[#This Row],[Age]],'Lookup &amp; Reference'!$G$2:$H$5,2,1)</f>
        <v>High</v>
      </c>
      <c r="E132" s="1" t="s">
        <v>12</v>
      </c>
      <c r="F132" s="1" t="str">
        <f>_xlfn.CONCAT(LEFT(Table1[[#This Row],[Gender]],1),Table1[[#This Row],[Age]])</f>
        <v>F63</v>
      </c>
      <c r="G132" s="1" t="s">
        <v>25</v>
      </c>
      <c r="H132" s="1">
        <f>LEN(Table1[[#This Row],[Chest_Pain_Type]])</f>
        <v>12</v>
      </c>
      <c r="I132" s="1">
        <v>157</v>
      </c>
      <c r="J132" s="1" t="str" cm="1">
        <f t="array" ref="J13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32" s="1">
        <v>127</v>
      </c>
      <c r="L132" s="1" t="s">
        <v>14</v>
      </c>
      <c r="M132" s="1" t="str">
        <f>IF(Table1[[#This Row],[Fasting_Blood_Sugar]]="Yes","Diabetic Risk","Normal")</f>
        <v>Normal</v>
      </c>
      <c r="N132" s="1" t="s">
        <v>20</v>
      </c>
      <c r="O132" s="1">
        <v>110</v>
      </c>
      <c r="P132" s="1" t="s">
        <v>16</v>
      </c>
      <c r="Q132" s="4" t="s">
        <v>14</v>
      </c>
      <c r="R132" s="1" t="str" cm="1">
        <f t="array" ref="R13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32" s="1">
        <f>IFERROR(Table1[[#This Row],[Cholesterol]]/Table1[[#This Row],[Max_Heart_Rate]],"")</f>
        <v>1.1545454545454545</v>
      </c>
    </row>
    <row r="133" spans="1:19">
      <c r="A133" s="3" t="s">
        <v>153</v>
      </c>
      <c r="B133" s="3" t="str">
        <f>RIGHT(Table1[[#This Row],[Patient_ID]],4)</f>
        <v>1131</v>
      </c>
      <c r="C133" s="1">
        <v>72</v>
      </c>
      <c r="D133" s="1" t="str">
        <f>VLOOKUP(Table1[[#This Row],[Age]],'Lookup &amp; Reference'!$G$2:$H$5,2,1)</f>
        <v>High</v>
      </c>
      <c r="E133" s="1" t="s">
        <v>12</v>
      </c>
      <c r="F133" s="1" t="str">
        <f>_xlfn.CONCAT(LEFT(Table1[[#This Row],[Gender]],1),Table1[[#This Row],[Age]])</f>
        <v>F72</v>
      </c>
      <c r="G133" s="1" t="s">
        <v>19</v>
      </c>
      <c r="H133" s="1">
        <f>LEN(Table1[[#This Row],[Chest_Pain_Type]])</f>
        <v>14</v>
      </c>
      <c r="I133" s="1">
        <v>101</v>
      </c>
      <c r="J133" s="1" t="str" cm="1">
        <f t="array" ref="J13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33" s="1">
        <v>204</v>
      </c>
      <c r="L133" s="1" t="s">
        <v>16</v>
      </c>
      <c r="M133" s="1" t="str">
        <f>IF(Table1[[#This Row],[Fasting_Blood_Sugar]]="Yes","Diabetic Risk","Normal")</f>
        <v>Diabetic Risk</v>
      </c>
      <c r="N133" s="1" t="s">
        <v>27</v>
      </c>
      <c r="O133" s="1">
        <v>207</v>
      </c>
      <c r="P133" s="1" t="s">
        <v>14</v>
      </c>
      <c r="Q133" s="4" t="s">
        <v>16</v>
      </c>
      <c r="R133" s="1" t="str" cm="1">
        <f t="array" ref="R13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33" s="1">
        <f>IFERROR(Table1[[#This Row],[Cholesterol]]/Table1[[#This Row],[Max_Heart_Rate]],"")</f>
        <v>0.98550724637681164</v>
      </c>
    </row>
    <row r="134" spans="1:19">
      <c r="A134" s="3" t="s">
        <v>154</v>
      </c>
      <c r="B134" s="3" t="str">
        <f>RIGHT(Table1[[#This Row],[Patient_ID]],4)</f>
        <v>1132</v>
      </c>
      <c r="C134" s="1">
        <v>68</v>
      </c>
      <c r="D134" s="1" t="str">
        <f>VLOOKUP(Table1[[#This Row],[Age]],'Lookup &amp; Reference'!$G$2:$H$5,2,1)</f>
        <v>High</v>
      </c>
      <c r="E134" s="1" t="s">
        <v>18</v>
      </c>
      <c r="F134" s="1" t="str">
        <f>_xlfn.CONCAT(LEFT(Table1[[#This Row],[Gender]],1),Table1[[#This Row],[Age]])</f>
        <v>M68</v>
      </c>
      <c r="G134" s="1" t="s">
        <v>22</v>
      </c>
      <c r="H134" s="1">
        <f>LEN(Table1[[#This Row],[Chest_Pain_Type]])</f>
        <v>15</v>
      </c>
      <c r="I134" s="1">
        <v>148</v>
      </c>
      <c r="J134" s="1" t="str" cm="1">
        <f t="array" ref="J13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34" s="1">
        <v>248</v>
      </c>
      <c r="L134" s="1" t="s">
        <v>16</v>
      </c>
      <c r="M134" s="1" t="str">
        <f>IF(Table1[[#This Row],[Fasting_Blood_Sugar]]="Yes","Diabetic Risk","Normal")</f>
        <v>Diabetic Risk</v>
      </c>
      <c r="N134" s="1" t="s">
        <v>27</v>
      </c>
      <c r="O134" s="1">
        <v>100</v>
      </c>
      <c r="P134" s="1" t="s">
        <v>14</v>
      </c>
      <c r="Q134" s="4" t="s">
        <v>16</v>
      </c>
      <c r="R134" s="1" t="str" cm="1">
        <f t="array" ref="R13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34" s="1">
        <f>IFERROR(Table1[[#This Row],[Cholesterol]]/Table1[[#This Row],[Max_Heart_Rate]],"")</f>
        <v>2.48</v>
      </c>
    </row>
    <row r="135" spans="1:19">
      <c r="A135" s="3" t="s">
        <v>155</v>
      </c>
      <c r="B135" s="3" t="str">
        <f>RIGHT(Table1[[#This Row],[Patient_ID]],4)</f>
        <v>1133</v>
      </c>
      <c r="C135" s="1">
        <v>50</v>
      </c>
      <c r="D135" s="1" t="str">
        <f>VLOOKUP(Table1[[#This Row],[Age]],'Lookup &amp; Reference'!$G$2:$H$5,2,1)</f>
        <v>Medium</v>
      </c>
      <c r="E135" s="1" t="s">
        <v>18</v>
      </c>
      <c r="F135" s="1" t="str">
        <f>_xlfn.CONCAT(LEFT(Table1[[#This Row],[Gender]],1),Table1[[#This Row],[Age]])</f>
        <v>M50</v>
      </c>
      <c r="G135" s="1" t="s">
        <v>19</v>
      </c>
      <c r="H135" s="1">
        <f>LEN(Table1[[#This Row],[Chest_Pain_Type]])</f>
        <v>14</v>
      </c>
      <c r="I135" s="1">
        <v>126</v>
      </c>
      <c r="J135" s="1" t="str" cm="1">
        <f t="array" ref="J13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35" s="1">
        <v>127</v>
      </c>
      <c r="L135" s="1" t="s">
        <v>14</v>
      </c>
      <c r="M135" s="1" t="str">
        <f>IF(Table1[[#This Row],[Fasting_Blood_Sugar]]="Yes","Diabetic Risk","Normal")</f>
        <v>Normal</v>
      </c>
      <c r="N135" s="1" t="s">
        <v>15</v>
      </c>
      <c r="O135" s="1">
        <v>192</v>
      </c>
      <c r="P135" s="1" t="s">
        <v>14</v>
      </c>
      <c r="Q135" s="4" t="s">
        <v>16</v>
      </c>
      <c r="R135" s="1" t="str" cm="1">
        <f t="array" ref="R13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35" s="1">
        <f>IFERROR(Table1[[#This Row],[Cholesterol]]/Table1[[#This Row],[Max_Heart_Rate]],"")</f>
        <v>0.66145833333333337</v>
      </c>
    </row>
    <row r="136" spans="1:19">
      <c r="A136" s="3" t="s">
        <v>156</v>
      </c>
      <c r="B136" s="3" t="str">
        <f>RIGHT(Table1[[#This Row],[Patient_ID]],4)</f>
        <v>1134</v>
      </c>
      <c r="C136" s="1">
        <v>55</v>
      </c>
      <c r="D136" s="1" t="str">
        <f>VLOOKUP(Table1[[#This Row],[Age]],'Lookup &amp; Reference'!$G$2:$H$5,2,1)</f>
        <v>Medium</v>
      </c>
      <c r="E136" s="1" t="s">
        <v>18</v>
      </c>
      <c r="F136" s="1" t="str">
        <f>_xlfn.CONCAT(LEFT(Table1[[#This Row],[Gender]],1),Table1[[#This Row],[Age]])</f>
        <v>M55</v>
      </c>
      <c r="G136" s="1" t="s">
        <v>19</v>
      </c>
      <c r="H136" s="1">
        <f>LEN(Table1[[#This Row],[Chest_Pain_Type]])</f>
        <v>14</v>
      </c>
      <c r="I136" s="1">
        <v>150</v>
      </c>
      <c r="J136" s="1" t="str" cm="1">
        <f t="array" ref="J13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36" s="1">
        <v>276</v>
      </c>
      <c r="L136" s="1" t="s">
        <v>14</v>
      </c>
      <c r="M136" s="1" t="str">
        <f>IF(Table1[[#This Row],[Fasting_Blood_Sugar]]="Yes","Diabetic Risk","Normal")</f>
        <v>Normal</v>
      </c>
      <c r="N136" s="1" t="s">
        <v>27</v>
      </c>
      <c r="O136" s="1">
        <v>181</v>
      </c>
      <c r="P136" s="1" t="s">
        <v>14</v>
      </c>
      <c r="Q136" s="4" t="s">
        <v>14</v>
      </c>
      <c r="R136" s="1" t="str" cm="1">
        <f t="array" ref="R13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36" s="1">
        <f>IFERROR(Table1[[#This Row],[Cholesterol]]/Table1[[#This Row],[Max_Heart_Rate]],"")</f>
        <v>1.5248618784530388</v>
      </c>
    </row>
    <row r="137" spans="1:19">
      <c r="A137" s="3" t="s">
        <v>157</v>
      </c>
      <c r="B137" s="3" t="str">
        <f>RIGHT(Table1[[#This Row],[Patient_ID]],4)</f>
        <v>1135</v>
      </c>
      <c r="C137" s="1">
        <v>63</v>
      </c>
      <c r="D137" s="1" t="str">
        <f>VLOOKUP(Table1[[#This Row],[Age]],'Lookup &amp; Reference'!$G$2:$H$5,2,1)</f>
        <v>High</v>
      </c>
      <c r="E137" s="1" t="s">
        <v>18</v>
      </c>
      <c r="F137" s="1" t="str">
        <f>_xlfn.CONCAT(LEFT(Table1[[#This Row],[Gender]],1),Table1[[#This Row],[Age]])</f>
        <v>M63</v>
      </c>
      <c r="G137" s="1" t="s">
        <v>19</v>
      </c>
      <c r="H137" s="1">
        <f>LEN(Table1[[#This Row],[Chest_Pain_Type]])</f>
        <v>14</v>
      </c>
      <c r="I137" s="1">
        <v>132</v>
      </c>
      <c r="J137" s="1" t="str" cm="1">
        <f t="array" ref="J137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37" s="1">
        <v>215</v>
      </c>
      <c r="L137" s="1" t="s">
        <v>14</v>
      </c>
      <c r="M137" s="1" t="str">
        <f>IF(Table1[[#This Row],[Fasting_Blood_Sugar]]="Yes","Diabetic Risk","Normal")</f>
        <v>Normal</v>
      </c>
      <c r="N137" s="1" t="s">
        <v>20</v>
      </c>
      <c r="O137" s="1">
        <v>94</v>
      </c>
      <c r="P137" s="1" t="s">
        <v>16</v>
      </c>
      <c r="Q137" s="4" t="s">
        <v>16</v>
      </c>
      <c r="R137" s="1" t="str" cm="1">
        <f t="array" ref="R13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37" s="1">
        <f>IFERROR(Table1[[#This Row],[Cholesterol]]/Table1[[#This Row],[Max_Heart_Rate]],"")</f>
        <v>2.2872340425531914</v>
      </c>
    </row>
    <row r="138" spans="1:19">
      <c r="A138" s="3" t="s">
        <v>158</v>
      </c>
      <c r="B138" s="3" t="str">
        <f>RIGHT(Table1[[#This Row],[Patient_ID]],4)</f>
        <v>1136</v>
      </c>
      <c r="C138" s="1">
        <v>29</v>
      </c>
      <c r="D138" s="1" t="e">
        <f>VLOOKUP(Table1[[#This Row],[Age]],'Lookup &amp; Reference'!$G$2:$H$5,2,1)</f>
        <v>#N/A</v>
      </c>
      <c r="E138" s="1" t="s">
        <v>18</v>
      </c>
      <c r="F138" s="1" t="str">
        <f>_xlfn.CONCAT(LEFT(Table1[[#This Row],[Gender]],1),Table1[[#This Row],[Age]])</f>
        <v>M29</v>
      </c>
      <c r="G138" s="1" t="s">
        <v>19</v>
      </c>
      <c r="H138" s="1">
        <f>LEN(Table1[[#This Row],[Chest_Pain_Type]])</f>
        <v>14</v>
      </c>
      <c r="I138" s="1">
        <v>159</v>
      </c>
      <c r="J138" s="1" t="str" cm="1">
        <f t="array" ref="J13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38" s="1">
        <v>221</v>
      </c>
      <c r="L138" s="1" t="s">
        <v>14</v>
      </c>
      <c r="M138" s="1" t="str">
        <f>IF(Table1[[#This Row],[Fasting_Blood_Sugar]]="Yes","Diabetic Risk","Normal")</f>
        <v>Normal</v>
      </c>
      <c r="N138" s="1" t="s">
        <v>27</v>
      </c>
      <c r="O138" s="1">
        <v>170</v>
      </c>
      <c r="P138" s="1" t="s">
        <v>14</v>
      </c>
      <c r="Q138" s="4" t="s">
        <v>16</v>
      </c>
      <c r="R138" s="1" t="str" cm="1">
        <f t="array" ref="R13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38" s="1">
        <f>IFERROR(Table1[[#This Row],[Cholesterol]]/Table1[[#This Row],[Max_Heart_Rate]],"")</f>
        <v>1.3</v>
      </c>
    </row>
    <row r="139" spans="1:19">
      <c r="A139" s="3" t="s">
        <v>159</v>
      </c>
      <c r="B139" s="3" t="str">
        <f>RIGHT(Table1[[#This Row],[Patient_ID]],4)</f>
        <v>1137</v>
      </c>
      <c r="C139" s="1">
        <v>63</v>
      </c>
      <c r="D139" s="1" t="str">
        <f>VLOOKUP(Table1[[#This Row],[Age]],'Lookup &amp; Reference'!$G$2:$H$5,2,1)</f>
        <v>High</v>
      </c>
      <c r="E139" s="1" t="s">
        <v>18</v>
      </c>
      <c r="F139" s="1" t="str">
        <f>_xlfn.CONCAT(LEFT(Table1[[#This Row],[Gender]],1),Table1[[#This Row],[Age]])</f>
        <v>M63</v>
      </c>
      <c r="G139" s="1" t="s">
        <v>13</v>
      </c>
      <c r="H139" s="1">
        <f>LEN(Table1[[#This Row],[Chest_Pain_Type]])</f>
        <v>11</v>
      </c>
      <c r="I139" s="1">
        <v>128</v>
      </c>
      <c r="J139" s="1" t="str" cm="1">
        <f t="array" ref="J13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39" s="1">
        <v>124</v>
      </c>
      <c r="L139" s="1" t="s">
        <v>14</v>
      </c>
      <c r="M139" s="1" t="str">
        <f>IF(Table1[[#This Row],[Fasting_Blood_Sugar]]="Yes","Diabetic Risk","Normal")</f>
        <v>Normal</v>
      </c>
      <c r="N139" s="1" t="s">
        <v>27</v>
      </c>
      <c r="O139" s="1">
        <v>145</v>
      </c>
      <c r="P139" s="1" t="s">
        <v>14</v>
      </c>
      <c r="Q139" s="4" t="s">
        <v>14</v>
      </c>
      <c r="R139" s="1" t="str" cm="1">
        <f t="array" ref="R13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39" s="1">
        <f>IFERROR(Table1[[#This Row],[Cholesterol]]/Table1[[#This Row],[Max_Heart_Rate]],"")</f>
        <v>0.85517241379310349</v>
      </c>
    </row>
    <row r="140" spans="1:19">
      <c r="A140" s="3" t="s">
        <v>160</v>
      </c>
      <c r="B140" s="3" t="str">
        <f>RIGHT(Table1[[#This Row],[Patient_ID]],4)</f>
        <v>1138</v>
      </c>
      <c r="C140" s="1">
        <v>65</v>
      </c>
      <c r="D140" s="1" t="str">
        <f>VLOOKUP(Table1[[#This Row],[Age]],'Lookup &amp; Reference'!$G$2:$H$5,2,1)</f>
        <v>High</v>
      </c>
      <c r="E140" s="1" t="s">
        <v>18</v>
      </c>
      <c r="F140" s="1" t="str">
        <f>_xlfn.CONCAT(LEFT(Table1[[#This Row],[Gender]],1),Table1[[#This Row],[Age]])</f>
        <v>M65</v>
      </c>
      <c r="G140" s="1" t="s">
        <v>13</v>
      </c>
      <c r="H140" s="1">
        <f>LEN(Table1[[#This Row],[Chest_Pain_Type]])</f>
        <v>11</v>
      </c>
      <c r="I140" s="1">
        <v>145</v>
      </c>
      <c r="J140" s="1" t="str" cm="1">
        <f t="array" ref="J14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0" s="1">
        <v>205</v>
      </c>
      <c r="L140" s="1" t="s">
        <v>14</v>
      </c>
      <c r="M140" s="1" t="str">
        <f>IF(Table1[[#This Row],[Fasting_Blood_Sugar]]="Yes","Diabetic Risk","Normal")</f>
        <v>Normal</v>
      </c>
      <c r="N140" s="1" t="s">
        <v>15</v>
      </c>
      <c r="O140" s="1">
        <v>109</v>
      </c>
      <c r="P140" s="1" t="s">
        <v>16</v>
      </c>
      <c r="Q140" s="4" t="s">
        <v>14</v>
      </c>
      <c r="R140" s="1" t="str" cm="1">
        <f t="array" ref="R14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0" s="1">
        <f>IFERROR(Table1[[#This Row],[Cholesterol]]/Table1[[#This Row],[Max_Heart_Rate]],"")</f>
        <v>1.8807339449541285</v>
      </c>
    </row>
    <row r="141" spans="1:19">
      <c r="A141" s="3" t="s">
        <v>161</v>
      </c>
      <c r="B141" s="3" t="str">
        <f>RIGHT(Table1[[#This Row],[Patient_ID]],4)</f>
        <v>1139</v>
      </c>
      <c r="C141" s="1">
        <v>75</v>
      </c>
      <c r="D141" s="1" t="str">
        <f>VLOOKUP(Table1[[#This Row],[Age]],'Lookup &amp; Reference'!$G$2:$H$5,2,1)</f>
        <v>High</v>
      </c>
      <c r="E141" s="1" t="s">
        <v>12</v>
      </c>
      <c r="F141" s="1" t="str">
        <f>_xlfn.CONCAT(LEFT(Table1[[#This Row],[Gender]],1),Table1[[#This Row],[Age]])</f>
        <v>F75</v>
      </c>
      <c r="G141" s="1" t="s">
        <v>19</v>
      </c>
      <c r="H141" s="1">
        <f>LEN(Table1[[#This Row],[Chest_Pain_Type]])</f>
        <v>14</v>
      </c>
      <c r="I141" s="1">
        <v>152</v>
      </c>
      <c r="J141" s="1" t="str" cm="1">
        <f t="array" ref="J14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1" s="1">
        <v>294</v>
      </c>
      <c r="L141" s="1" t="s">
        <v>14</v>
      </c>
      <c r="M141" s="1" t="str">
        <f>IF(Table1[[#This Row],[Fasting_Blood_Sugar]]="Yes","Diabetic Risk","Normal")</f>
        <v>Normal</v>
      </c>
      <c r="N141" s="1" t="s">
        <v>27</v>
      </c>
      <c r="O141" s="1">
        <v>130</v>
      </c>
      <c r="P141" s="1" t="s">
        <v>14</v>
      </c>
      <c r="Q141" s="4" t="s">
        <v>16</v>
      </c>
      <c r="R141" s="1" t="str" cm="1">
        <f t="array" ref="R14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41" s="1">
        <f>IFERROR(Table1[[#This Row],[Cholesterol]]/Table1[[#This Row],[Max_Heart_Rate]],"")</f>
        <v>2.2615384615384615</v>
      </c>
    </row>
    <row r="142" spans="1:19">
      <c r="A142" s="3" t="s">
        <v>162</v>
      </c>
      <c r="B142" s="3" t="str">
        <f>RIGHT(Table1[[#This Row],[Patient_ID]],4)</f>
        <v>1140</v>
      </c>
      <c r="C142" s="1">
        <v>42</v>
      </c>
      <c r="D142" s="1" t="str">
        <f>VLOOKUP(Table1[[#This Row],[Age]],'Lookup &amp; Reference'!$G$2:$H$5,2,1)</f>
        <v>Low</v>
      </c>
      <c r="E142" s="1" t="s">
        <v>12</v>
      </c>
      <c r="F142" s="1" t="str">
        <f>_xlfn.CONCAT(LEFT(Table1[[#This Row],[Gender]],1),Table1[[#This Row],[Age]])</f>
        <v>F42</v>
      </c>
      <c r="G142" s="1" t="s">
        <v>22</v>
      </c>
      <c r="H142" s="1">
        <f>LEN(Table1[[#This Row],[Chest_Pain_Type]])</f>
        <v>15</v>
      </c>
      <c r="I142" s="1">
        <v>135</v>
      </c>
      <c r="J142" s="1" t="str" cm="1">
        <f t="array" ref="J14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42" s="1">
        <v>153</v>
      </c>
      <c r="L142" s="1" t="s">
        <v>14</v>
      </c>
      <c r="M142" s="1" t="str">
        <f>IF(Table1[[#This Row],[Fasting_Blood_Sugar]]="Yes","Diabetic Risk","Normal")</f>
        <v>Normal</v>
      </c>
      <c r="N142" s="1" t="s">
        <v>27</v>
      </c>
      <c r="O142" s="1">
        <v>135</v>
      </c>
      <c r="P142" s="1" t="s">
        <v>16</v>
      </c>
      <c r="Q142" s="4" t="s">
        <v>16</v>
      </c>
      <c r="R142" s="1" t="str" cm="1">
        <f t="array" ref="R14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2" s="1">
        <f>IFERROR(Table1[[#This Row],[Cholesterol]]/Table1[[#This Row],[Max_Heart_Rate]],"")</f>
        <v>1.1333333333333333</v>
      </c>
    </row>
    <row r="143" spans="1:19">
      <c r="A143" s="3" t="s">
        <v>163</v>
      </c>
      <c r="B143" s="3" t="str">
        <f>RIGHT(Table1[[#This Row],[Patient_ID]],4)</f>
        <v>1141</v>
      </c>
      <c r="C143" s="1">
        <v>31</v>
      </c>
      <c r="D143" s="1" t="str">
        <f>VLOOKUP(Table1[[#This Row],[Age]],'Lookup &amp; Reference'!$G$2:$H$5,2,1)</f>
        <v>Low</v>
      </c>
      <c r="E143" s="1" t="s">
        <v>18</v>
      </c>
      <c r="F143" s="1" t="str">
        <f>_xlfn.CONCAT(LEFT(Table1[[#This Row],[Gender]],1),Table1[[#This Row],[Age]])</f>
        <v>M31</v>
      </c>
      <c r="G143" s="1" t="s">
        <v>25</v>
      </c>
      <c r="H143" s="1">
        <f>LEN(Table1[[#This Row],[Chest_Pain_Type]])</f>
        <v>12</v>
      </c>
      <c r="I143" s="1">
        <v>177</v>
      </c>
      <c r="J143" s="1" t="str" cm="1">
        <f t="array" ref="J14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3" s="1">
        <v>312</v>
      </c>
      <c r="L143" s="1" t="s">
        <v>14</v>
      </c>
      <c r="M143" s="1" t="str">
        <f>IF(Table1[[#This Row],[Fasting_Blood_Sugar]]="Yes","Diabetic Risk","Normal")</f>
        <v>Normal</v>
      </c>
      <c r="N143" s="1" t="s">
        <v>20</v>
      </c>
      <c r="O143" s="1">
        <v>101</v>
      </c>
      <c r="P143" s="1" t="s">
        <v>16</v>
      </c>
      <c r="Q143" s="4" t="s">
        <v>14</v>
      </c>
      <c r="R143" s="1" t="str" cm="1">
        <f t="array" ref="R14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3" s="1">
        <f>IFERROR(Table1[[#This Row],[Cholesterol]]/Table1[[#This Row],[Max_Heart_Rate]],"")</f>
        <v>3.0891089108910892</v>
      </c>
    </row>
    <row r="144" spans="1:19">
      <c r="A144" s="3" t="s">
        <v>164</v>
      </c>
      <c r="B144" s="3" t="str">
        <f>RIGHT(Table1[[#This Row],[Patient_ID]],4)</f>
        <v>1142</v>
      </c>
      <c r="C144" s="1">
        <v>29</v>
      </c>
      <c r="D144" s="1" t="e">
        <f>VLOOKUP(Table1[[#This Row],[Age]],'Lookup &amp; Reference'!$G$2:$H$5,2,1)</f>
        <v>#N/A</v>
      </c>
      <c r="E144" s="1" t="s">
        <v>18</v>
      </c>
      <c r="F144" s="1" t="str">
        <f>_xlfn.CONCAT(LEFT(Table1[[#This Row],[Gender]],1),Table1[[#This Row],[Age]])</f>
        <v>M29</v>
      </c>
      <c r="G144" s="1" t="s">
        <v>22</v>
      </c>
      <c r="H144" s="1">
        <f>LEN(Table1[[#This Row],[Chest_Pain_Type]])</f>
        <v>15</v>
      </c>
      <c r="I144" s="1">
        <v>100</v>
      </c>
      <c r="J144" s="1" t="str" cm="1">
        <f t="array" ref="J14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44" s="1">
        <v>174</v>
      </c>
      <c r="L144" s="1" t="s">
        <v>16</v>
      </c>
      <c r="M144" s="1" t="str">
        <f>IF(Table1[[#This Row],[Fasting_Blood_Sugar]]="Yes","Diabetic Risk","Normal")</f>
        <v>Diabetic Risk</v>
      </c>
      <c r="N144" s="1" t="s">
        <v>15</v>
      </c>
      <c r="O144" s="1">
        <v>159</v>
      </c>
      <c r="P144" s="1" t="s">
        <v>16</v>
      </c>
      <c r="Q144" s="4" t="s">
        <v>14</v>
      </c>
      <c r="R144" s="1" t="str" cm="1">
        <f t="array" ref="R14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4" s="1">
        <f>IFERROR(Table1[[#This Row],[Cholesterol]]/Table1[[#This Row],[Max_Heart_Rate]],"")</f>
        <v>1.0943396226415094</v>
      </c>
    </row>
    <row r="145" spans="1:19">
      <c r="A145" s="3" t="s">
        <v>165</v>
      </c>
      <c r="B145" s="3" t="str">
        <f>RIGHT(Table1[[#This Row],[Patient_ID]],4)</f>
        <v>1143</v>
      </c>
      <c r="C145" s="1">
        <v>33</v>
      </c>
      <c r="D145" s="1" t="str">
        <f>VLOOKUP(Table1[[#This Row],[Age]],'Lookup &amp; Reference'!$G$2:$H$5,2,1)</f>
        <v>Low</v>
      </c>
      <c r="E145" s="1" t="s">
        <v>12</v>
      </c>
      <c r="F145" s="1" t="str">
        <f>_xlfn.CONCAT(LEFT(Table1[[#This Row],[Gender]],1),Table1[[#This Row],[Age]])</f>
        <v>F33</v>
      </c>
      <c r="G145" s="1" t="s">
        <v>22</v>
      </c>
      <c r="H145" s="1">
        <f>LEN(Table1[[#This Row],[Chest_Pain_Type]])</f>
        <v>15</v>
      </c>
      <c r="I145" s="1">
        <v>151</v>
      </c>
      <c r="J145" s="1" t="str" cm="1">
        <f t="array" ref="J14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5" s="1">
        <v>238</v>
      </c>
      <c r="L145" s="1" t="s">
        <v>16</v>
      </c>
      <c r="M145" s="1" t="str">
        <f>IF(Table1[[#This Row],[Fasting_Blood_Sugar]]="Yes","Diabetic Risk","Normal")</f>
        <v>Diabetic Risk</v>
      </c>
      <c r="N145" s="1" t="s">
        <v>15</v>
      </c>
      <c r="O145" s="1">
        <v>106</v>
      </c>
      <c r="P145" s="1" t="s">
        <v>14</v>
      </c>
      <c r="Q145" s="4" t="s">
        <v>14</v>
      </c>
      <c r="R145" s="1" t="str" cm="1">
        <f t="array" ref="R14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5" s="1">
        <f>IFERROR(Table1[[#This Row],[Cholesterol]]/Table1[[#This Row],[Max_Heart_Rate]],"")</f>
        <v>2.2452830188679247</v>
      </c>
    </row>
    <row r="146" spans="1:19">
      <c r="A146" s="3" t="s">
        <v>166</v>
      </c>
      <c r="B146" s="3" t="str">
        <f>RIGHT(Table1[[#This Row],[Patient_ID]],4)</f>
        <v>1144</v>
      </c>
      <c r="C146" s="1">
        <v>54</v>
      </c>
      <c r="D146" s="1" t="str">
        <f>VLOOKUP(Table1[[#This Row],[Age]],'Lookup &amp; Reference'!$G$2:$H$5,2,1)</f>
        <v>Medium</v>
      </c>
      <c r="E146" s="1" t="s">
        <v>18</v>
      </c>
      <c r="F146" s="1" t="str">
        <f>_xlfn.CONCAT(LEFT(Table1[[#This Row],[Gender]],1),Table1[[#This Row],[Age]])</f>
        <v>M54</v>
      </c>
      <c r="G146" s="1" t="s">
        <v>22</v>
      </c>
      <c r="H146" s="1">
        <f>LEN(Table1[[#This Row],[Chest_Pain_Type]])</f>
        <v>15</v>
      </c>
      <c r="I146" s="1">
        <v>166</v>
      </c>
      <c r="J146" s="1" t="str" cm="1">
        <f t="array" ref="J14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6" s="1">
        <v>337</v>
      </c>
      <c r="L146" s="1" t="s">
        <v>16</v>
      </c>
      <c r="M146" s="1" t="str">
        <f>IF(Table1[[#This Row],[Fasting_Blood_Sugar]]="Yes","Diabetic Risk","Normal")</f>
        <v>Diabetic Risk</v>
      </c>
      <c r="N146" s="1" t="s">
        <v>15</v>
      </c>
      <c r="O146" s="1">
        <v>204</v>
      </c>
      <c r="P146" s="1" t="s">
        <v>16</v>
      </c>
      <c r="Q146" s="4" t="s">
        <v>14</v>
      </c>
      <c r="R146" s="1" t="str" cm="1">
        <f t="array" ref="R14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6" s="1">
        <f>IFERROR(Table1[[#This Row],[Cholesterol]]/Table1[[#This Row],[Max_Heart_Rate]],"")</f>
        <v>1.6519607843137254</v>
      </c>
    </row>
    <row r="147" spans="1:19">
      <c r="A147" s="3" t="s">
        <v>167</v>
      </c>
      <c r="B147" s="3" t="str">
        <f>RIGHT(Table1[[#This Row],[Patient_ID]],4)</f>
        <v>1145</v>
      </c>
      <c r="C147" s="1">
        <v>42</v>
      </c>
      <c r="D147" s="1" t="str">
        <f>VLOOKUP(Table1[[#This Row],[Age]],'Lookup &amp; Reference'!$G$2:$H$5,2,1)</f>
        <v>Low</v>
      </c>
      <c r="E147" s="1" t="s">
        <v>18</v>
      </c>
      <c r="F147" s="1" t="str">
        <f>_xlfn.CONCAT(LEFT(Table1[[#This Row],[Gender]],1),Table1[[#This Row],[Age]])</f>
        <v>M42</v>
      </c>
      <c r="G147" s="1" t="s">
        <v>19</v>
      </c>
      <c r="H147" s="1">
        <f>LEN(Table1[[#This Row],[Chest_Pain_Type]])</f>
        <v>14</v>
      </c>
      <c r="I147" s="1">
        <v>187</v>
      </c>
      <c r="J147" s="1" t="str" cm="1">
        <f t="array" ref="J14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7" s="1">
        <v>290</v>
      </c>
      <c r="L147" s="1" t="s">
        <v>14</v>
      </c>
      <c r="M147" s="1" t="str">
        <f>IF(Table1[[#This Row],[Fasting_Blood_Sugar]]="Yes","Diabetic Risk","Normal")</f>
        <v>Normal</v>
      </c>
      <c r="N147" s="1" t="s">
        <v>27</v>
      </c>
      <c r="O147" s="1">
        <v>108</v>
      </c>
      <c r="P147" s="1" t="s">
        <v>16</v>
      </c>
      <c r="Q147" s="4" t="s">
        <v>14</v>
      </c>
      <c r="R147" s="1" t="str" cm="1">
        <f t="array" ref="R14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7" s="1">
        <f>IFERROR(Table1[[#This Row],[Cholesterol]]/Table1[[#This Row],[Max_Heart_Rate]],"")</f>
        <v>2.6851851851851851</v>
      </c>
    </row>
    <row r="148" spans="1:19">
      <c r="A148" s="3" t="s">
        <v>168</v>
      </c>
      <c r="B148" s="3" t="str">
        <f>RIGHT(Table1[[#This Row],[Patient_ID]],4)</f>
        <v>1146</v>
      </c>
      <c r="C148" s="1">
        <v>67</v>
      </c>
      <c r="D148" s="1" t="str">
        <f>VLOOKUP(Table1[[#This Row],[Age]],'Lookup &amp; Reference'!$G$2:$H$5,2,1)</f>
        <v>High</v>
      </c>
      <c r="E148" s="1" t="s">
        <v>12</v>
      </c>
      <c r="F148" s="1" t="str">
        <f>_xlfn.CONCAT(LEFT(Table1[[#This Row],[Gender]],1),Table1[[#This Row],[Age]])</f>
        <v>F67</v>
      </c>
      <c r="G148" s="1" t="s">
        <v>13</v>
      </c>
      <c r="H148" s="1">
        <f>LEN(Table1[[#This Row],[Chest_Pain_Type]])</f>
        <v>11</v>
      </c>
      <c r="I148" s="1">
        <v>114</v>
      </c>
      <c r="J148" s="1" t="str" cm="1">
        <f t="array" ref="J14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48" s="1">
        <v>321</v>
      </c>
      <c r="L148" s="1" t="s">
        <v>16</v>
      </c>
      <c r="M148" s="1" t="str">
        <f>IF(Table1[[#This Row],[Fasting_Blood_Sugar]]="Yes","Diabetic Risk","Normal")</f>
        <v>Diabetic Risk</v>
      </c>
      <c r="N148" s="1" t="s">
        <v>15</v>
      </c>
      <c r="O148" s="1">
        <v>115</v>
      </c>
      <c r="P148" s="1" t="s">
        <v>16</v>
      </c>
      <c r="Q148" s="4" t="s">
        <v>14</v>
      </c>
      <c r="R148" s="1" t="str" cm="1">
        <f t="array" ref="R14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8" s="1">
        <f>IFERROR(Table1[[#This Row],[Cholesterol]]/Table1[[#This Row],[Max_Heart_Rate]],"")</f>
        <v>2.7913043478260868</v>
      </c>
    </row>
    <row r="149" spans="1:19">
      <c r="A149" s="3" t="s">
        <v>169</v>
      </c>
      <c r="B149" s="3" t="str">
        <f>RIGHT(Table1[[#This Row],[Patient_ID]],4)</f>
        <v>1147</v>
      </c>
      <c r="C149" s="1">
        <v>55</v>
      </c>
      <c r="D149" s="1" t="str">
        <f>VLOOKUP(Table1[[#This Row],[Age]],'Lookup &amp; Reference'!$G$2:$H$5,2,1)</f>
        <v>Medium</v>
      </c>
      <c r="E149" s="1" t="s">
        <v>18</v>
      </c>
      <c r="F149" s="1" t="str">
        <f>_xlfn.CONCAT(LEFT(Table1[[#This Row],[Gender]],1),Table1[[#This Row],[Age]])</f>
        <v>M55</v>
      </c>
      <c r="G149" s="1" t="s">
        <v>22</v>
      </c>
      <c r="H149" s="1">
        <f>LEN(Table1[[#This Row],[Chest_Pain_Type]])</f>
        <v>15</v>
      </c>
      <c r="I149" s="1">
        <v>160</v>
      </c>
      <c r="J149" s="1" t="str" cm="1">
        <f t="array" ref="J14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49" s="1">
        <v>277</v>
      </c>
      <c r="L149" s="1" t="s">
        <v>14</v>
      </c>
      <c r="M149" s="1" t="str">
        <f>IF(Table1[[#This Row],[Fasting_Blood_Sugar]]="Yes","Diabetic Risk","Normal")</f>
        <v>Normal</v>
      </c>
      <c r="N149" s="1" t="s">
        <v>27</v>
      </c>
      <c r="O149" s="1">
        <v>137</v>
      </c>
      <c r="P149" s="1" t="s">
        <v>14</v>
      </c>
      <c r="Q149" s="4" t="s">
        <v>14</v>
      </c>
      <c r="R149" s="1" t="str" cm="1">
        <f t="array" ref="R14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49" s="1">
        <f>IFERROR(Table1[[#This Row],[Cholesterol]]/Table1[[#This Row],[Max_Heart_Rate]],"")</f>
        <v>2.0218978102189782</v>
      </c>
    </row>
    <row r="150" spans="1:19">
      <c r="A150" s="3" t="s">
        <v>170</v>
      </c>
      <c r="B150" s="3" t="str">
        <f>RIGHT(Table1[[#This Row],[Patient_ID]],4)</f>
        <v>1148</v>
      </c>
      <c r="C150" s="1">
        <v>37</v>
      </c>
      <c r="D150" s="1" t="str">
        <f>VLOOKUP(Table1[[#This Row],[Age]],'Lookup &amp; Reference'!$G$2:$H$5,2,1)</f>
        <v>Low</v>
      </c>
      <c r="E150" s="1" t="s">
        <v>12</v>
      </c>
      <c r="F150" s="1" t="str">
        <f>_xlfn.CONCAT(LEFT(Table1[[#This Row],[Gender]],1),Table1[[#This Row],[Age]])</f>
        <v>F37</v>
      </c>
      <c r="G150" s="1" t="s">
        <v>19</v>
      </c>
      <c r="H150" s="1">
        <f>LEN(Table1[[#This Row],[Chest_Pain_Type]])</f>
        <v>14</v>
      </c>
      <c r="I150" s="1">
        <v>141</v>
      </c>
      <c r="J150" s="1" t="str" cm="1">
        <f t="array" ref="J15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0" s="1">
        <v>233</v>
      </c>
      <c r="L150" s="1" t="s">
        <v>14</v>
      </c>
      <c r="M150" s="1" t="str">
        <f>IF(Table1[[#This Row],[Fasting_Blood_Sugar]]="Yes","Diabetic Risk","Normal")</f>
        <v>Normal</v>
      </c>
      <c r="N150" s="1" t="s">
        <v>27</v>
      </c>
      <c r="O150" s="1">
        <v>197</v>
      </c>
      <c r="P150" s="1" t="s">
        <v>14</v>
      </c>
      <c r="Q150" s="4" t="s">
        <v>16</v>
      </c>
      <c r="R150" s="1" t="str" cm="1">
        <f t="array" ref="R15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50" s="1">
        <f>IFERROR(Table1[[#This Row],[Cholesterol]]/Table1[[#This Row],[Max_Heart_Rate]],"")</f>
        <v>1.1827411167512691</v>
      </c>
    </row>
    <row r="151" spans="1:19">
      <c r="A151" s="3" t="s">
        <v>171</v>
      </c>
      <c r="B151" s="3" t="str">
        <f>RIGHT(Table1[[#This Row],[Patient_ID]],4)</f>
        <v>1149</v>
      </c>
      <c r="C151" s="1">
        <v>43</v>
      </c>
      <c r="D151" s="1" t="str">
        <f>VLOOKUP(Table1[[#This Row],[Age]],'Lookup &amp; Reference'!$G$2:$H$5,2,1)</f>
        <v>Low</v>
      </c>
      <c r="E151" s="1" t="s">
        <v>18</v>
      </c>
      <c r="F151" s="1" t="str">
        <f>_xlfn.CONCAT(LEFT(Table1[[#This Row],[Gender]],1),Table1[[#This Row],[Age]])</f>
        <v>M43</v>
      </c>
      <c r="G151" s="1" t="s">
        <v>22</v>
      </c>
      <c r="H151" s="1">
        <f>LEN(Table1[[#This Row],[Chest_Pain_Type]])</f>
        <v>15</v>
      </c>
      <c r="I151" s="1">
        <v>93</v>
      </c>
      <c r="J151" s="1" t="str" cm="1">
        <f t="array" ref="J15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51" s="1">
        <v>329</v>
      </c>
      <c r="L151" s="1" t="s">
        <v>16</v>
      </c>
      <c r="M151" s="1" t="str">
        <f>IF(Table1[[#This Row],[Fasting_Blood_Sugar]]="Yes","Diabetic Risk","Normal")</f>
        <v>Diabetic Risk</v>
      </c>
      <c r="N151" s="1" t="s">
        <v>20</v>
      </c>
      <c r="O151" s="1">
        <v>197</v>
      </c>
      <c r="P151" s="1" t="s">
        <v>14</v>
      </c>
      <c r="Q151" s="4" t="s">
        <v>14</v>
      </c>
      <c r="R151" s="1" t="str" cm="1">
        <f t="array" ref="R15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51" s="1">
        <f>IFERROR(Table1[[#This Row],[Cholesterol]]/Table1[[#This Row],[Max_Heart_Rate]],"")</f>
        <v>1.6700507614213198</v>
      </c>
    </row>
    <row r="152" spans="1:19">
      <c r="A152" s="3" t="s">
        <v>172</v>
      </c>
      <c r="B152" s="3" t="str">
        <f>RIGHT(Table1[[#This Row],[Patient_ID]],4)</f>
        <v>1150</v>
      </c>
      <c r="C152" s="1">
        <v>43</v>
      </c>
      <c r="D152" s="1" t="str">
        <f>VLOOKUP(Table1[[#This Row],[Age]],'Lookup &amp; Reference'!$G$2:$H$5,2,1)</f>
        <v>Low</v>
      </c>
      <c r="E152" s="1" t="s">
        <v>12</v>
      </c>
      <c r="F152" s="1" t="str">
        <f>_xlfn.CONCAT(LEFT(Table1[[#This Row],[Gender]],1),Table1[[#This Row],[Age]])</f>
        <v>F43</v>
      </c>
      <c r="G152" s="1" t="s">
        <v>22</v>
      </c>
      <c r="H152" s="1">
        <f>LEN(Table1[[#This Row],[Chest_Pain_Type]])</f>
        <v>15</v>
      </c>
      <c r="I152" s="1">
        <v>148</v>
      </c>
      <c r="J152" s="1" t="str" cm="1">
        <f t="array" ref="J15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2" s="1">
        <v>264</v>
      </c>
      <c r="L152" s="1" t="s">
        <v>14</v>
      </c>
      <c r="M152" s="1" t="str">
        <f>IF(Table1[[#This Row],[Fasting_Blood_Sugar]]="Yes","Diabetic Risk","Normal")</f>
        <v>Normal</v>
      </c>
      <c r="N152" s="1" t="s">
        <v>20</v>
      </c>
      <c r="O152" s="1">
        <v>141</v>
      </c>
      <c r="P152" s="1" t="s">
        <v>14</v>
      </c>
      <c r="Q152" s="4" t="s">
        <v>14</v>
      </c>
      <c r="R152" s="1" t="str" cm="1">
        <f t="array" ref="R15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52" s="1">
        <f>IFERROR(Table1[[#This Row],[Cholesterol]]/Table1[[#This Row],[Max_Heart_Rate]],"")</f>
        <v>1.8723404255319149</v>
      </c>
    </row>
    <row r="153" spans="1:19">
      <c r="A153" s="3" t="s">
        <v>173</v>
      </c>
      <c r="B153" s="3" t="str">
        <f>RIGHT(Table1[[#This Row],[Patient_ID]],4)</f>
        <v>1151</v>
      </c>
      <c r="C153" s="1">
        <v>54</v>
      </c>
      <c r="D153" s="1" t="str">
        <f>VLOOKUP(Table1[[#This Row],[Age]],'Lookup &amp; Reference'!$G$2:$H$5,2,1)</f>
        <v>Medium</v>
      </c>
      <c r="E153" s="1" t="s">
        <v>12</v>
      </c>
      <c r="F153" s="1" t="str">
        <f>_xlfn.CONCAT(LEFT(Table1[[#This Row],[Gender]],1),Table1[[#This Row],[Age]])</f>
        <v>F54</v>
      </c>
      <c r="G153" s="1" t="s">
        <v>19</v>
      </c>
      <c r="H153" s="1">
        <f>LEN(Table1[[#This Row],[Chest_Pain_Type]])</f>
        <v>14</v>
      </c>
      <c r="I153" s="1">
        <v>161</v>
      </c>
      <c r="J153" s="1" t="str" cm="1">
        <f t="array" ref="J15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3" s="1">
        <v>145</v>
      </c>
      <c r="L153" s="1" t="s">
        <v>16</v>
      </c>
      <c r="M153" s="1" t="str">
        <f>IF(Table1[[#This Row],[Fasting_Blood_Sugar]]="Yes","Diabetic Risk","Normal")</f>
        <v>Diabetic Risk</v>
      </c>
      <c r="N153" s="1" t="s">
        <v>20</v>
      </c>
      <c r="O153" s="1">
        <v>185</v>
      </c>
      <c r="P153" s="1" t="s">
        <v>14</v>
      </c>
      <c r="Q153" s="4" t="s">
        <v>16</v>
      </c>
      <c r="R153" s="1" t="str" cm="1">
        <f t="array" ref="R15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53" s="1">
        <f>IFERROR(Table1[[#This Row],[Cholesterol]]/Table1[[#This Row],[Max_Heart_Rate]],"")</f>
        <v>0.78378378378378377</v>
      </c>
    </row>
    <row r="154" spans="1:19">
      <c r="A154" s="3" t="s">
        <v>174</v>
      </c>
      <c r="B154" s="3" t="str">
        <f>RIGHT(Table1[[#This Row],[Patient_ID]],4)</f>
        <v>1152</v>
      </c>
      <c r="C154" s="1">
        <v>70</v>
      </c>
      <c r="D154" s="1" t="str">
        <f>VLOOKUP(Table1[[#This Row],[Age]],'Lookup &amp; Reference'!$G$2:$H$5,2,1)</f>
        <v>High</v>
      </c>
      <c r="E154" s="1" t="s">
        <v>12</v>
      </c>
      <c r="F154" s="1" t="str">
        <f>_xlfn.CONCAT(LEFT(Table1[[#This Row],[Gender]],1),Table1[[#This Row],[Age]])</f>
        <v>F70</v>
      </c>
      <c r="G154" s="1" t="s">
        <v>13</v>
      </c>
      <c r="H154" s="1">
        <f>LEN(Table1[[#This Row],[Chest_Pain_Type]])</f>
        <v>11</v>
      </c>
      <c r="I154" s="1">
        <v>109</v>
      </c>
      <c r="J154" s="1" t="str" cm="1">
        <f t="array" ref="J15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54" s="1">
        <v>255</v>
      </c>
      <c r="L154" s="1" t="s">
        <v>16</v>
      </c>
      <c r="M154" s="1" t="str">
        <f>IF(Table1[[#This Row],[Fasting_Blood_Sugar]]="Yes","Diabetic Risk","Normal")</f>
        <v>Diabetic Risk</v>
      </c>
      <c r="N154" s="1" t="s">
        <v>20</v>
      </c>
      <c r="O154" s="1">
        <v>159</v>
      </c>
      <c r="P154" s="1" t="s">
        <v>14</v>
      </c>
      <c r="Q154" s="4" t="s">
        <v>14</v>
      </c>
      <c r="R154" s="1" t="str" cm="1">
        <f t="array" ref="R15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54" s="1">
        <f>IFERROR(Table1[[#This Row],[Cholesterol]]/Table1[[#This Row],[Max_Heart_Rate]],"")</f>
        <v>1.6037735849056605</v>
      </c>
    </row>
    <row r="155" spans="1:19">
      <c r="A155" s="3" t="s">
        <v>175</v>
      </c>
      <c r="B155" s="3" t="str">
        <f>RIGHT(Table1[[#This Row],[Patient_ID]],4)</f>
        <v>1153</v>
      </c>
      <c r="C155" s="1">
        <v>41</v>
      </c>
      <c r="D155" s="1" t="str">
        <f>VLOOKUP(Table1[[#This Row],[Age]],'Lookup &amp; Reference'!$G$2:$H$5,2,1)</f>
        <v>Low</v>
      </c>
      <c r="E155" s="1" t="s">
        <v>18</v>
      </c>
      <c r="F155" s="1" t="str">
        <f>_xlfn.CONCAT(LEFT(Table1[[#This Row],[Gender]],1),Table1[[#This Row],[Age]])</f>
        <v>M41</v>
      </c>
      <c r="G155" s="1" t="s">
        <v>13</v>
      </c>
      <c r="H155" s="1">
        <f>LEN(Table1[[#This Row],[Chest_Pain_Type]])</f>
        <v>11</v>
      </c>
      <c r="I155" s="1">
        <v>182</v>
      </c>
      <c r="J155" s="1" t="str" cm="1">
        <f t="array" ref="J15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5" s="1">
        <v>166</v>
      </c>
      <c r="L155" s="1" t="s">
        <v>16</v>
      </c>
      <c r="M155" s="1" t="str">
        <f>IF(Table1[[#This Row],[Fasting_Blood_Sugar]]="Yes","Diabetic Risk","Normal")</f>
        <v>Diabetic Risk</v>
      </c>
      <c r="N155" s="1" t="s">
        <v>20</v>
      </c>
      <c r="O155" s="1">
        <v>144</v>
      </c>
      <c r="P155" s="1" t="s">
        <v>14</v>
      </c>
      <c r="Q155" s="4" t="s">
        <v>14</v>
      </c>
      <c r="R155" s="1" t="str" cm="1">
        <f t="array" ref="R15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55" s="1">
        <f>IFERROR(Table1[[#This Row],[Cholesterol]]/Table1[[#This Row],[Max_Heart_Rate]],"")</f>
        <v>1.1527777777777777</v>
      </c>
    </row>
    <row r="156" spans="1:19">
      <c r="A156" s="3" t="s">
        <v>176</v>
      </c>
      <c r="B156" s="3" t="str">
        <f>RIGHT(Table1[[#This Row],[Patient_ID]],4)</f>
        <v>1154</v>
      </c>
      <c r="C156" s="1">
        <v>79</v>
      </c>
      <c r="D156" s="1" t="str">
        <f>VLOOKUP(Table1[[#This Row],[Age]],'Lookup &amp; Reference'!$G$2:$H$5,2,1)</f>
        <v>High</v>
      </c>
      <c r="E156" s="1" t="s">
        <v>12</v>
      </c>
      <c r="F156" s="1" t="str">
        <f>_xlfn.CONCAT(LEFT(Table1[[#This Row],[Gender]],1),Table1[[#This Row],[Age]])</f>
        <v>F79</v>
      </c>
      <c r="G156" s="1" t="s">
        <v>25</v>
      </c>
      <c r="H156" s="1">
        <f>LEN(Table1[[#This Row],[Chest_Pain_Type]])</f>
        <v>12</v>
      </c>
      <c r="I156" s="1">
        <v>152</v>
      </c>
      <c r="J156" s="1" t="str" cm="1">
        <f t="array" ref="J15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6" s="1">
        <v>232</v>
      </c>
      <c r="L156" s="1" t="s">
        <v>14</v>
      </c>
      <c r="M156" s="1" t="str">
        <f>IF(Table1[[#This Row],[Fasting_Blood_Sugar]]="Yes","Diabetic Risk","Normal")</f>
        <v>Normal</v>
      </c>
      <c r="N156" s="1" t="s">
        <v>27</v>
      </c>
      <c r="O156" s="1">
        <v>189</v>
      </c>
      <c r="P156" s="1" t="s">
        <v>16</v>
      </c>
      <c r="Q156" s="4" t="s">
        <v>16</v>
      </c>
      <c r="R156" s="1" t="str" cm="1">
        <f t="array" ref="R15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56" s="1">
        <f>IFERROR(Table1[[#This Row],[Cholesterol]]/Table1[[#This Row],[Max_Heart_Rate]],"")</f>
        <v>1.2275132275132274</v>
      </c>
    </row>
    <row r="157" spans="1:19">
      <c r="A157" s="3" t="s">
        <v>177</v>
      </c>
      <c r="B157" s="3" t="str">
        <f>RIGHT(Table1[[#This Row],[Patient_ID]],4)</f>
        <v>1155</v>
      </c>
      <c r="C157" s="1">
        <v>60</v>
      </c>
      <c r="D157" s="1" t="str">
        <f>VLOOKUP(Table1[[#This Row],[Age]],'Lookup &amp; Reference'!$G$2:$H$5,2,1)</f>
        <v>High</v>
      </c>
      <c r="E157" s="1" t="s">
        <v>18</v>
      </c>
      <c r="F157" s="1" t="str">
        <f>_xlfn.CONCAT(LEFT(Table1[[#This Row],[Gender]],1),Table1[[#This Row],[Age]])</f>
        <v>M60</v>
      </c>
      <c r="G157" s="1" t="s">
        <v>19</v>
      </c>
      <c r="H157" s="1">
        <f>LEN(Table1[[#This Row],[Chest_Pain_Type]])</f>
        <v>14</v>
      </c>
      <c r="I157" s="1">
        <v>143</v>
      </c>
      <c r="J157" s="1" t="str" cm="1">
        <f t="array" ref="J15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7" s="1">
        <v>195</v>
      </c>
      <c r="L157" s="1" t="s">
        <v>16</v>
      </c>
      <c r="M157" s="1" t="str">
        <f>IF(Table1[[#This Row],[Fasting_Blood_Sugar]]="Yes","Diabetic Risk","Normal")</f>
        <v>Diabetic Risk</v>
      </c>
      <c r="N157" s="1" t="s">
        <v>27</v>
      </c>
      <c r="O157" s="1">
        <v>191</v>
      </c>
      <c r="P157" s="1" t="s">
        <v>16</v>
      </c>
      <c r="Q157" s="4" t="s">
        <v>14</v>
      </c>
      <c r="R157" s="1" t="str" cm="1">
        <f t="array" ref="R15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57" s="1">
        <f>IFERROR(Table1[[#This Row],[Cholesterol]]/Table1[[#This Row],[Max_Heart_Rate]],"")</f>
        <v>1.0209424083769634</v>
      </c>
    </row>
    <row r="158" spans="1:19">
      <c r="A158" s="3" t="s">
        <v>178</v>
      </c>
      <c r="B158" s="3" t="str">
        <f>RIGHT(Table1[[#This Row],[Patient_ID]],4)</f>
        <v>1156</v>
      </c>
      <c r="C158" s="1">
        <v>67</v>
      </c>
      <c r="D158" s="1" t="str">
        <f>VLOOKUP(Table1[[#This Row],[Age]],'Lookup &amp; Reference'!$G$2:$H$5,2,1)</f>
        <v>High</v>
      </c>
      <c r="E158" s="1" t="s">
        <v>18</v>
      </c>
      <c r="F158" s="1" t="str">
        <f>_xlfn.CONCAT(LEFT(Table1[[#This Row],[Gender]],1),Table1[[#This Row],[Age]])</f>
        <v>M67</v>
      </c>
      <c r="G158" s="1" t="s">
        <v>25</v>
      </c>
      <c r="H158" s="1">
        <f>LEN(Table1[[#This Row],[Chest_Pain_Type]])</f>
        <v>12</v>
      </c>
      <c r="I158" s="1">
        <v>163</v>
      </c>
      <c r="J158" s="1" t="str" cm="1">
        <f t="array" ref="J15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8" s="1">
        <v>338</v>
      </c>
      <c r="L158" s="1" t="s">
        <v>14</v>
      </c>
      <c r="M158" s="1" t="str">
        <f>IF(Table1[[#This Row],[Fasting_Blood_Sugar]]="Yes","Diabetic Risk","Normal")</f>
        <v>Normal</v>
      </c>
      <c r="N158" s="1" t="s">
        <v>15</v>
      </c>
      <c r="O158" s="1">
        <v>164</v>
      </c>
      <c r="P158" s="1" t="s">
        <v>16</v>
      </c>
      <c r="Q158" s="4" t="s">
        <v>16</v>
      </c>
      <c r="R158" s="1" t="str" cm="1">
        <f t="array" ref="R15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58" s="1">
        <f>IFERROR(Table1[[#This Row],[Cholesterol]]/Table1[[#This Row],[Max_Heart_Rate]],"")</f>
        <v>2.0609756097560976</v>
      </c>
    </row>
    <row r="159" spans="1:19">
      <c r="A159" s="3" t="s">
        <v>179</v>
      </c>
      <c r="B159" s="3" t="str">
        <f>RIGHT(Table1[[#This Row],[Patient_ID]],4)</f>
        <v>1157</v>
      </c>
      <c r="C159" s="1">
        <v>77</v>
      </c>
      <c r="D159" s="1" t="str">
        <f>VLOOKUP(Table1[[#This Row],[Age]],'Lookup &amp; Reference'!$G$2:$H$5,2,1)</f>
        <v>High</v>
      </c>
      <c r="E159" s="1" t="s">
        <v>18</v>
      </c>
      <c r="F159" s="1" t="str">
        <f>_xlfn.CONCAT(LEFT(Table1[[#This Row],[Gender]],1),Table1[[#This Row],[Age]])</f>
        <v>M77</v>
      </c>
      <c r="G159" s="1" t="s">
        <v>25</v>
      </c>
      <c r="H159" s="1">
        <f>LEN(Table1[[#This Row],[Chest_Pain_Type]])</f>
        <v>12</v>
      </c>
      <c r="I159" s="1">
        <v>187</v>
      </c>
      <c r="J159" s="1" t="str" cm="1">
        <f t="array" ref="J15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59" s="1">
        <v>191</v>
      </c>
      <c r="L159" s="1" t="s">
        <v>16</v>
      </c>
      <c r="M159" s="1" t="str">
        <f>IF(Table1[[#This Row],[Fasting_Blood_Sugar]]="Yes","Diabetic Risk","Normal")</f>
        <v>Diabetic Risk</v>
      </c>
      <c r="N159" s="1" t="s">
        <v>27</v>
      </c>
      <c r="O159" s="1">
        <v>122</v>
      </c>
      <c r="P159" s="1" t="s">
        <v>16</v>
      </c>
      <c r="Q159" s="4" t="s">
        <v>16</v>
      </c>
      <c r="R159" s="1" t="str" cm="1">
        <f t="array" ref="R15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59" s="1">
        <f>IFERROR(Table1[[#This Row],[Cholesterol]]/Table1[[#This Row],[Max_Heart_Rate]],"")</f>
        <v>1.5655737704918034</v>
      </c>
    </row>
    <row r="160" spans="1:19">
      <c r="A160" s="3" t="s">
        <v>180</v>
      </c>
      <c r="B160" s="3" t="str">
        <f>RIGHT(Table1[[#This Row],[Patient_ID]],4)</f>
        <v>1158</v>
      </c>
      <c r="C160" s="1">
        <v>60</v>
      </c>
      <c r="D160" s="1" t="str">
        <f>VLOOKUP(Table1[[#This Row],[Age]],'Lookup &amp; Reference'!$G$2:$H$5,2,1)</f>
        <v>High</v>
      </c>
      <c r="E160" s="1" t="s">
        <v>18</v>
      </c>
      <c r="F160" s="1" t="str">
        <f>_xlfn.CONCAT(LEFT(Table1[[#This Row],[Gender]],1),Table1[[#This Row],[Age]])</f>
        <v>M60</v>
      </c>
      <c r="G160" s="1" t="s">
        <v>25</v>
      </c>
      <c r="H160" s="1">
        <f>LEN(Table1[[#This Row],[Chest_Pain_Type]])</f>
        <v>12</v>
      </c>
      <c r="I160" s="1">
        <v>146</v>
      </c>
      <c r="J160" s="1" t="str" cm="1">
        <f t="array" ref="J16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60" s="1">
        <v>208</v>
      </c>
      <c r="L160" s="1" t="s">
        <v>16</v>
      </c>
      <c r="M160" s="1" t="str">
        <f>IF(Table1[[#This Row],[Fasting_Blood_Sugar]]="Yes","Diabetic Risk","Normal")</f>
        <v>Diabetic Risk</v>
      </c>
      <c r="N160" s="1" t="s">
        <v>27</v>
      </c>
      <c r="O160" s="1">
        <v>151</v>
      </c>
      <c r="P160" s="1" t="s">
        <v>14</v>
      </c>
      <c r="Q160" s="4" t="s">
        <v>16</v>
      </c>
      <c r="R160" s="1" t="str" cm="1">
        <f t="array" ref="R16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60" s="1">
        <f>IFERROR(Table1[[#This Row],[Cholesterol]]/Table1[[#This Row],[Max_Heart_Rate]],"")</f>
        <v>1.3774834437086092</v>
      </c>
    </row>
    <row r="161" spans="1:19">
      <c r="A161" s="3" t="s">
        <v>181</v>
      </c>
      <c r="B161" s="3" t="str">
        <f>RIGHT(Table1[[#This Row],[Patient_ID]],4)</f>
        <v>1159</v>
      </c>
      <c r="C161" s="1">
        <v>32</v>
      </c>
      <c r="D161" s="1" t="str">
        <f>VLOOKUP(Table1[[#This Row],[Age]],'Lookup &amp; Reference'!$G$2:$H$5,2,1)</f>
        <v>Low</v>
      </c>
      <c r="E161" s="1" t="s">
        <v>12</v>
      </c>
      <c r="F161" s="1" t="str">
        <f>_xlfn.CONCAT(LEFT(Table1[[#This Row],[Gender]],1),Table1[[#This Row],[Age]])</f>
        <v>F32</v>
      </c>
      <c r="G161" s="1" t="s">
        <v>13</v>
      </c>
      <c r="H161" s="1">
        <f>LEN(Table1[[#This Row],[Chest_Pain_Type]])</f>
        <v>11</v>
      </c>
      <c r="I161" s="1">
        <v>179</v>
      </c>
      <c r="J161" s="1" t="str" cm="1">
        <f t="array" ref="J16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61" s="1">
        <v>165</v>
      </c>
      <c r="L161" s="1" t="s">
        <v>16</v>
      </c>
      <c r="M161" s="1" t="str">
        <f>IF(Table1[[#This Row],[Fasting_Blood_Sugar]]="Yes","Diabetic Risk","Normal")</f>
        <v>Diabetic Risk</v>
      </c>
      <c r="N161" s="1" t="s">
        <v>20</v>
      </c>
      <c r="O161" s="1">
        <v>177</v>
      </c>
      <c r="P161" s="1" t="s">
        <v>16</v>
      </c>
      <c r="Q161" s="4" t="s">
        <v>16</v>
      </c>
      <c r="R161" s="1" t="str" cm="1">
        <f t="array" ref="R16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61" s="1">
        <f>IFERROR(Table1[[#This Row],[Cholesterol]]/Table1[[#This Row],[Max_Heart_Rate]],"")</f>
        <v>0.93220338983050843</v>
      </c>
    </row>
    <row r="162" spans="1:19">
      <c r="A162" s="3" t="s">
        <v>182</v>
      </c>
      <c r="B162" s="3" t="str">
        <f>RIGHT(Table1[[#This Row],[Patient_ID]],4)</f>
        <v>1160</v>
      </c>
      <c r="C162" s="1">
        <v>58</v>
      </c>
      <c r="D162" s="1" t="str">
        <f>VLOOKUP(Table1[[#This Row],[Age]],'Lookup &amp; Reference'!$G$2:$H$5,2,1)</f>
        <v>Medium</v>
      </c>
      <c r="E162" s="1" t="s">
        <v>12</v>
      </c>
      <c r="F162" s="1" t="str">
        <f>_xlfn.CONCAT(LEFT(Table1[[#This Row],[Gender]],1),Table1[[#This Row],[Age]])</f>
        <v>F58</v>
      </c>
      <c r="G162" s="1" t="s">
        <v>19</v>
      </c>
      <c r="H162" s="1">
        <f>LEN(Table1[[#This Row],[Chest_Pain_Type]])</f>
        <v>14</v>
      </c>
      <c r="I162" s="1">
        <v>130</v>
      </c>
      <c r="J162" s="1" t="str" cm="1">
        <f t="array" ref="J16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62" s="1">
        <v>315</v>
      </c>
      <c r="L162" s="1" t="s">
        <v>14</v>
      </c>
      <c r="M162" s="1" t="str">
        <f>IF(Table1[[#This Row],[Fasting_Blood_Sugar]]="Yes","Diabetic Risk","Normal")</f>
        <v>Normal</v>
      </c>
      <c r="N162" s="1" t="s">
        <v>27</v>
      </c>
      <c r="O162" s="1">
        <v>112</v>
      </c>
      <c r="P162" s="1" t="s">
        <v>16</v>
      </c>
      <c r="Q162" s="4" t="s">
        <v>14</v>
      </c>
      <c r="R162" s="1" t="str" cm="1">
        <f t="array" ref="R16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62" s="1">
        <f>IFERROR(Table1[[#This Row],[Cholesterol]]/Table1[[#This Row],[Max_Heart_Rate]],"")</f>
        <v>2.8125</v>
      </c>
    </row>
    <row r="163" spans="1:19">
      <c r="A163" s="3" t="s">
        <v>183</v>
      </c>
      <c r="B163" s="3" t="str">
        <f>RIGHT(Table1[[#This Row],[Patient_ID]],4)</f>
        <v>1161</v>
      </c>
      <c r="C163" s="1">
        <v>65</v>
      </c>
      <c r="D163" s="1" t="str">
        <f>VLOOKUP(Table1[[#This Row],[Age]],'Lookup &amp; Reference'!$G$2:$H$5,2,1)</f>
        <v>High</v>
      </c>
      <c r="E163" s="1" t="s">
        <v>18</v>
      </c>
      <c r="F163" s="1" t="str">
        <f>_xlfn.CONCAT(LEFT(Table1[[#This Row],[Gender]],1),Table1[[#This Row],[Age]])</f>
        <v>M65</v>
      </c>
      <c r="G163" s="1" t="s">
        <v>25</v>
      </c>
      <c r="H163" s="1">
        <f>LEN(Table1[[#This Row],[Chest_Pain_Type]])</f>
        <v>12</v>
      </c>
      <c r="I163" s="1">
        <v>92</v>
      </c>
      <c r="J163" s="1" t="str" cm="1">
        <f t="array" ref="J16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63" s="1">
        <v>152</v>
      </c>
      <c r="L163" s="1" t="s">
        <v>14</v>
      </c>
      <c r="M163" s="1" t="str">
        <f>IF(Table1[[#This Row],[Fasting_Blood_Sugar]]="Yes","Diabetic Risk","Normal")</f>
        <v>Normal</v>
      </c>
      <c r="N163" s="1" t="s">
        <v>20</v>
      </c>
      <c r="O163" s="1">
        <v>104</v>
      </c>
      <c r="P163" s="1" t="s">
        <v>16</v>
      </c>
      <c r="Q163" s="4" t="s">
        <v>16</v>
      </c>
      <c r="R163" s="1" t="str" cm="1">
        <f t="array" ref="R16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63" s="1">
        <f>IFERROR(Table1[[#This Row],[Cholesterol]]/Table1[[#This Row],[Max_Heart_Rate]],"")</f>
        <v>1.4615384615384615</v>
      </c>
    </row>
    <row r="164" spans="1:19">
      <c r="A164" s="3" t="s">
        <v>184</v>
      </c>
      <c r="B164" s="3" t="str">
        <f>RIGHT(Table1[[#This Row],[Patient_ID]],4)</f>
        <v>1162</v>
      </c>
      <c r="C164" s="1">
        <v>51</v>
      </c>
      <c r="D164" s="1" t="str">
        <f>VLOOKUP(Table1[[#This Row],[Age]],'Lookup &amp; Reference'!$G$2:$H$5,2,1)</f>
        <v>Medium</v>
      </c>
      <c r="E164" s="1" t="s">
        <v>18</v>
      </c>
      <c r="F164" s="1" t="str">
        <f>_xlfn.CONCAT(LEFT(Table1[[#This Row],[Gender]],1),Table1[[#This Row],[Age]])</f>
        <v>M51</v>
      </c>
      <c r="G164" s="1" t="s">
        <v>19</v>
      </c>
      <c r="H164" s="1">
        <f>LEN(Table1[[#This Row],[Chest_Pain_Type]])</f>
        <v>14</v>
      </c>
      <c r="I164" s="1">
        <v>95</v>
      </c>
      <c r="J164" s="1" t="str" cm="1">
        <f t="array" ref="J16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64" s="1">
        <v>120</v>
      </c>
      <c r="L164" s="1" t="s">
        <v>14</v>
      </c>
      <c r="M164" s="1" t="str">
        <f>IF(Table1[[#This Row],[Fasting_Blood_Sugar]]="Yes","Diabetic Risk","Normal")</f>
        <v>Normal</v>
      </c>
      <c r="N164" s="1" t="s">
        <v>15</v>
      </c>
      <c r="O164" s="1">
        <v>116</v>
      </c>
      <c r="P164" s="1" t="s">
        <v>16</v>
      </c>
      <c r="Q164" s="4" t="s">
        <v>16</v>
      </c>
      <c r="R164" s="1" t="str" cm="1">
        <f t="array" ref="R16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64" s="1">
        <f>IFERROR(Table1[[#This Row],[Cholesterol]]/Table1[[#This Row],[Max_Heart_Rate]],"")</f>
        <v>1.0344827586206897</v>
      </c>
    </row>
    <row r="165" spans="1:19">
      <c r="A165" s="3" t="s">
        <v>185</v>
      </c>
      <c r="B165" s="3" t="str">
        <f>RIGHT(Table1[[#This Row],[Patient_ID]],4)</f>
        <v>1163</v>
      </c>
      <c r="C165" s="1">
        <v>67</v>
      </c>
      <c r="D165" s="1" t="str">
        <f>VLOOKUP(Table1[[#This Row],[Age]],'Lookup &amp; Reference'!$G$2:$H$5,2,1)</f>
        <v>High</v>
      </c>
      <c r="E165" s="1" t="s">
        <v>12</v>
      </c>
      <c r="F165" s="1" t="str">
        <f>_xlfn.CONCAT(LEFT(Table1[[#This Row],[Gender]],1),Table1[[#This Row],[Age]])</f>
        <v>F67</v>
      </c>
      <c r="G165" s="1" t="s">
        <v>19</v>
      </c>
      <c r="H165" s="1">
        <f>LEN(Table1[[#This Row],[Chest_Pain_Type]])</f>
        <v>14</v>
      </c>
      <c r="I165" s="1">
        <v>94</v>
      </c>
      <c r="J165" s="1" t="str" cm="1">
        <f t="array" ref="J16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65" s="1">
        <v>266</v>
      </c>
      <c r="L165" s="1" t="s">
        <v>16</v>
      </c>
      <c r="M165" s="1" t="str">
        <f>IF(Table1[[#This Row],[Fasting_Blood_Sugar]]="Yes","Diabetic Risk","Normal")</f>
        <v>Diabetic Risk</v>
      </c>
      <c r="N165" s="1" t="s">
        <v>15</v>
      </c>
      <c r="O165" s="1">
        <v>164</v>
      </c>
      <c r="P165" s="1" t="s">
        <v>14</v>
      </c>
      <c r="Q165" s="4" t="s">
        <v>14</v>
      </c>
      <c r="R165" s="1" t="str" cm="1">
        <f t="array" ref="R16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65" s="1">
        <f>IFERROR(Table1[[#This Row],[Cholesterol]]/Table1[[#This Row],[Max_Heart_Rate]],"")</f>
        <v>1.6219512195121952</v>
      </c>
    </row>
    <row r="166" spans="1:19">
      <c r="A166" s="3" t="s">
        <v>186</v>
      </c>
      <c r="B166" s="3" t="str">
        <f>RIGHT(Table1[[#This Row],[Patient_ID]],4)</f>
        <v>1164</v>
      </c>
      <c r="C166" s="1">
        <v>73</v>
      </c>
      <c r="D166" s="1" t="str">
        <f>VLOOKUP(Table1[[#This Row],[Age]],'Lookup &amp; Reference'!$G$2:$H$5,2,1)</f>
        <v>High</v>
      </c>
      <c r="E166" s="1" t="s">
        <v>18</v>
      </c>
      <c r="F166" s="1" t="str">
        <f>_xlfn.CONCAT(LEFT(Table1[[#This Row],[Gender]],1),Table1[[#This Row],[Age]])</f>
        <v>M73</v>
      </c>
      <c r="G166" s="1" t="s">
        <v>13</v>
      </c>
      <c r="H166" s="1">
        <f>LEN(Table1[[#This Row],[Chest_Pain_Type]])</f>
        <v>11</v>
      </c>
      <c r="I166" s="1">
        <v>94</v>
      </c>
      <c r="J166" s="1" t="str" cm="1">
        <f t="array" ref="J16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66" s="1">
        <v>150</v>
      </c>
      <c r="L166" s="1" t="s">
        <v>16</v>
      </c>
      <c r="M166" s="1" t="str">
        <f>IF(Table1[[#This Row],[Fasting_Blood_Sugar]]="Yes","Diabetic Risk","Normal")</f>
        <v>Diabetic Risk</v>
      </c>
      <c r="N166" s="1" t="s">
        <v>27</v>
      </c>
      <c r="O166" s="1">
        <v>153</v>
      </c>
      <c r="P166" s="1" t="s">
        <v>14</v>
      </c>
      <c r="Q166" s="4" t="s">
        <v>16</v>
      </c>
      <c r="R166" s="1" t="str" cm="1">
        <f t="array" ref="R16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66" s="1">
        <f>IFERROR(Table1[[#This Row],[Cholesterol]]/Table1[[#This Row],[Max_Heart_Rate]],"")</f>
        <v>0.98039215686274506</v>
      </c>
    </row>
    <row r="167" spans="1:19">
      <c r="A167" s="3" t="s">
        <v>187</v>
      </c>
      <c r="B167" s="3" t="str">
        <f>RIGHT(Table1[[#This Row],[Patient_ID]],4)</f>
        <v>1165</v>
      </c>
      <c r="C167" s="1">
        <v>43</v>
      </c>
      <c r="D167" s="1" t="str">
        <f>VLOOKUP(Table1[[#This Row],[Age]],'Lookup &amp; Reference'!$G$2:$H$5,2,1)</f>
        <v>Low</v>
      </c>
      <c r="E167" s="1" t="s">
        <v>12</v>
      </c>
      <c r="F167" s="1" t="str">
        <f>_xlfn.CONCAT(LEFT(Table1[[#This Row],[Gender]],1),Table1[[#This Row],[Age]])</f>
        <v>F43</v>
      </c>
      <c r="G167" s="1" t="s">
        <v>25</v>
      </c>
      <c r="H167" s="1">
        <f>LEN(Table1[[#This Row],[Chest_Pain_Type]])</f>
        <v>12</v>
      </c>
      <c r="I167" s="1">
        <v>143</v>
      </c>
      <c r="J167" s="1" t="str" cm="1">
        <f t="array" ref="J16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67" s="1">
        <v>327</v>
      </c>
      <c r="L167" s="1" t="s">
        <v>14</v>
      </c>
      <c r="M167" s="1" t="str">
        <f>IF(Table1[[#This Row],[Fasting_Blood_Sugar]]="Yes","Diabetic Risk","Normal")</f>
        <v>Normal</v>
      </c>
      <c r="N167" s="1" t="s">
        <v>15</v>
      </c>
      <c r="O167" s="1">
        <v>204</v>
      </c>
      <c r="P167" s="1" t="s">
        <v>14</v>
      </c>
      <c r="Q167" s="4" t="s">
        <v>16</v>
      </c>
      <c r="R167" s="1" t="str" cm="1">
        <f t="array" ref="R16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67" s="1">
        <f>IFERROR(Table1[[#This Row],[Cholesterol]]/Table1[[#This Row],[Max_Heart_Rate]],"")</f>
        <v>1.6029411764705883</v>
      </c>
    </row>
    <row r="168" spans="1:19">
      <c r="A168" s="3" t="s">
        <v>188</v>
      </c>
      <c r="B168" s="3" t="str">
        <f>RIGHT(Table1[[#This Row],[Patient_ID]],4)</f>
        <v>1166</v>
      </c>
      <c r="C168" s="1">
        <v>71</v>
      </c>
      <c r="D168" s="1" t="str">
        <f>VLOOKUP(Table1[[#This Row],[Age]],'Lookup &amp; Reference'!$G$2:$H$5,2,1)</f>
        <v>High</v>
      </c>
      <c r="E168" s="1" t="s">
        <v>18</v>
      </c>
      <c r="F168" s="1" t="str">
        <f>_xlfn.CONCAT(LEFT(Table1[[#This Row],[Gender]],1),Table1[[#This Row],[Age]])</f>
        <v>M71</v>
      </c>
      <c r="G168" s="1" t="s">
        <v>25</v>
      </c>
      <c r="H168" s="1">
        <f>LEN(Table1[[#This Row],[Chest_Pain_Type]])</f>
        <v>12</v>
      </c>
      <c r="I168" s="1">
        <v>136</v>
      </c>
      <c r="J168" s="1" t="str" cm="1">
        <f t="array" ref="J16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68" s="1">
        <v>261</v>
      </c>
      <c r="L168" s="1" t="s">
        <v>14</v>
      </c>
      <c r="M168" s="1" t="str">
        <f>IF(Table1[[#This Row],[Fasting_Blood_Sugar]]="Yes","Diabetic Risk","Normal")</f>
        <v>Normal</v>
      </c>
      <c r="N168" s="1" t="s">
        <v>27</v>
      </c>
      <c r="O168" s="1">
        <v>203</v>
      </c>
      <c r="P168" s="1" t="s">
        <v>16</v>
      </c>
      <c r="Q168" s="4" t="s">
        <v>16</v>
      </c>
      <c r="R168" s="1" t="str" cm="1">
        <f t="array" ref="R16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68" s="1">
        <f>IFERROR(Table1[[#This Row],[Cholesterol]]/Table1[[#This Row],[Max_Heart_Rate]],"")</f>
        <v>1.2857142857142858</v>
      </c>
    </row>
    <row r="169" spans="1:19">
      <c r="A169" s="3" t="s">
        <v>189</v>
      </c>
      <c r="B169" s="3" t="str">
        <f>RIGHT(Table1[[#This Row],[Patient_ID]],4)</f>
        <v>1167</v>
      </c>
      <c r="C169" s="1">
        <v>57</v>
      </c>
      <c r="D169" s="1" t="str">
        <f>VLOOKUP(Table1[[#This Row],[Age]],'Lookup &amp; Reference'!$G$2:$H$5,2,1)</f>
        <v>Medium</v>
      </c>
      <c r="E169" s="1" t="s">
        <v>18</v>
      </c>
      <c r="F169" s="1" t="str">
        <f>_xlfn.CONCAT(LEFT(Table1[[#This Row],[Gender]],1),Table1[[#This Row],[Age]])</f>
        <v>M57</v>
      </c>
      <c r="G169" s="1" t="s">
        <v>19</v>
      </c>
      <c r="H169" s="1">
        <f>LEN(Table1[[#This Row],[Chest_Pain_Type]])</f>
        <v>14</v>
      </c>
      <c r="I169" s="1">
        <v>176</v>
      </c>
      <c r="J169" s="1" t="str" cm="1">
        <f t="array" ref="J16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69" s="1">
        <v>172</v>
      </c>
      <c r="L169" s="1" t="s">
        <v>14</v>
      </c>
      <c r="M169" s="1" t="str">
        <f>IF(Table1[[#This Row],[Fasting_Blood_Sugar]]="Yes","Diabetic Risk","Normal")</f>
        <v>Normal</v>
      </c>
      <c r="N169" s="1" t="s">
        <v>15</v>
      </c>
      <c r="O169" s="1">
        <v>170</v>
      </c>
      <c r="P169" s="1" t="s">
        <v>14</v>
      </c>
      <c r="Q169" s="4" t="s">
        <v>16</v>
      </c>
      <c r="R169" s="1" t="str" cm="1">
        <f t="array" ref="R16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69" s="1">
        <f>IFERROR(Table1[[#This Row],[Cholesterol]]/Table1[[#This Row],[Max_Heart_Rate]],"")</f>
        <v>1.0117647058823529</v>
      </c>
    </row>
    <row r="170" spans="1:19">
      <c r="A170" s="3" t="s">
        <v>190</v>
      </c>
      <c r="B170" s="3" t="str">
        <f>RIGHT(Table1[[#This Row],[Patient_ID]],4)</f>
        <v>1168</v>
      </c>
      <c r="C170" s="1">
        <v>64</v>
      </c>
      <c r="D170" s="1" t="str">
        <f>VLOOKUP(Table1[[#This Row],[Age]],'Lookup &amp; Reference'!$G$2:$H$5,2,1)</f>
        <v>High</v>
      </c>
      <c r="E170" s="1" t="s">
        <v>12</v>
      </c>
      <c r="F170" s="1" t="str">
        <f>_xlfn.CONCAT(LEFT(Table1[[#This Row],[Gender]],1),Table1[[#This Row],[Age]])</f>
        <v>F64</v>
      </c>
      <c r="G170" s="1" t="s">
        <v>22</v>
      </c>
      <c r="H170" s="1">
        <f>LEN(Table1[[#This Row],[Chest_Pain_Type]])</f>
        <v>15</v>
      </c>
      <c r="I170" s="1">
        <v>138</v>
      </c>
      <c r="J170" s="1" t="str" cm="1">
        <f t="array" ref="J17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70" s="1">
        <v>167</v>
      </c>
      <c r="L170" s="1" t="s">
        <v>14</v>
      </c>
      <c r="M170" s="1" t="str">
        <f>IF(Table1[[#This Row],[Fasting_Blood_Sugar]]="Yes","Diabetic Risk","Normal")</f>
        <v>Normal</v>
      </c>
      <c r="N170" s="1" t="s">
        <v>20</v>
      </c>
      <c r="O170" s="1">
        <v>140</v>
      </c>
      <c r="P170" s="1" t="s">
        <v>16</v>
      </c>
      <c r="Q170" s="4" t="s">
        <v>14</v>
      </c>
      <c r="R170" s="1" t="str" cm="1">
        <f t="array" ref="R17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0" s="1">
        <f>IFERROR(Table1[[#This Row],[Cholesterol]]/Table1[[#This Row],[Max_Heart_Rate]],"")</f>
        <v>1.1928571428571428</v>
      </c>
    </row>
    <row r="171" spans="1:19">
      <c r="A171" s="3" t="s">
        <v>191</v>
      </c>
      <c r="B171" s="3" t="str">
        <f>RIGHT(Table1[[#This Row],[Patient_ID]],4)</f>
        <v>1169</v>
      </c>
      <c r="C171" s="1">
        <v>41</v>
      </c>
      <c r="D171" s="1" t="str">
        <f>VLOOKUP(Table1[[#This Row],[Age]],'Lookup &amp; Reference'!$G$2:$H$5,2,1)</f>
        <v>Low</v>
      </c>
      <c r="E171" s="1" t="s">
        <v>18</v>
      </c>
      <c r="F171" s="1" t="str">
        <f>_xlfn.CONCAT(LEFT(Table1[[#This Row],[Gender]],1),Table1[[#This Row],[Age]])</f>
        <v>M41</v>
      </c>
      <c r="G171" s="1" t="s">
        <v>13</v>
      </c>
      <c r="H171" s="1">
        <f>LEN(Table1[[#This Row],[Chest_Pain_Type]])</f>
        <v>11</v>
      </c>
      <c r="I171" s="1">
        <v>98</v>
      </c>
      <c r="J171" s="1" t="str" cm="1">
        <f t="array" ref="J17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71" s="1">
        <v>188</v>
      </c>
      <c r="L171" s="1" t="s">
        <v>14</v>
      </c>
      <c r="M171" s="1" t="str">
        <f>IF(Table1[[#This Row],[Fasting_Blood_Sugar]]="Yes","Diabetic Risk","Normal")</f>
        <v>Normal</v>
      </c>
      <c r="N171" s="1" t="s">
        <v>20</v>
      </c>
      <c r="O171" s="1">
        <v>142</v>
      </c>
      <c r="P171" s="1" t="s">
        <v>14</v>
      </c>
      <c r="Q171" s="4" t="s">
        <v>16</v>
      </c>
      <c r="R171" s="1" t="str" cm="1">
        <f t="array" ref="R17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1" s="1">
        <f>IFERROR(Table1[[#This Row],[Cholesterol]]/Table1[[#This Row],[Max_Heart_Rate]],"")</f>
        <v>1.323943661971831</v>
      </c>
    </row>
    <row r="172" spans="1:19">
      <c r="A172" s="3" t="s">
        <v>192</v>
      </c>
      <c r="B172" s="3" t="str">
        <f>RIGHT(Table1[[#This Row],[Patient_ID]],4)</f>
        <v>1170</v>
      </c>
      <c r="C172" s="1">
        <v>60</v>
      </c>
      <c r="D172" s="1" t="str">
        <f>VLOOKUP(Table1[[#This Row],[Age]],'Lookup &amp; Reference'!$G$2:$H$5,2,1)</f>
        <v>High</v>
      </c>
      <c r="E172" s="1" t="s">
        <v>12</v>
      </c>
      <c r="F172" s="1" t="str">
        <f>_xlfn.CONCAT(LEFT(Table1[[#This Row],[Gender]],1),Table1[[#This Row],[Age]])</f>
        <v>F60</v>
      </c>
      <c r="G172" s="1" t="s">
        <v>13</v>
      </c>
      <c r="H172" s="1">
        <f>LEN(Table1[[#This Row],[Chest_Pain_Type]])</f>
        <v>11</v>
      </c>
      <c r="I172" s="1">
        <v>188</v>
      </c>
      <c r="J172" s="1" t="str" cm="1">
        <f t="array" ref="J17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72" s="1">
        <v>224</v>
      </c>
      <c r="L172" s="1" t="s">
        <v>14</v>
      </c>
      <c r="M172" s="1" t="str">
        <f>IF(Table1[[#This Row],[Fasting_Blood_Sugar]]="Yes","Diabetic Risk","Normal")</f>
        <v>Normal</v>
      </c>
      <c r="N172" s="1" t="s">
        <v>20</v>
      </c>
      <c r="O172" s="1">
        <v>167</v>
      </c>
      <c r="P172" s="1" t="s">
        <v>14</v>
      </c>
      <c r="Q172" s="4" t="s">
        <v>14</v>
      </c>
      <c r="R172" s="1" t="str" cm="1">
        <f t="array" ref="R17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2" s="1">
        <f>IFERROR(Table1[[#This Row],[Cholesterol]]/Table1[[#This Row],[Max_Heart_Rate]],"")</f>
        <v>1.341317365269461</v>
      </c>
    </row>
    <row r="173" spans="1:19">
      <c r="A173" s="3" t="s">
        <v>193</v>
      </c>
      <c r="B173" s="3" t="str">
        <f>RIGHT(Table1[[#This Row],[Patient_ID]],4)</f>
        <v>1171</v>
      </c>
      <c r="C173" s="1">
        <v>35</v>
      </c>
      <c r="D173" s="1" t="str">
        <f>VLOOKUP(Table1[[#This Row],[Age]],'Lookup &amp; Reference'!$G$2:$H$5,2,1)</f>
        <v>Low</v>
      </c>
      <c r="E173" s="1" t="s">
        <v>18</v>
      </c>
      <c r="F173" s="1" t="str">
        <f>_xlfn.CONCAT(LEFT(Table1[[#This Row],[Gender]],1),Table1[[#This Row],[Age]])</f>
        <v>M35</v>
      </c>
      <c r="G173" s="1" t="s">
        <v>13</v>
      </c>
      <c r="H173" s="1">
        <f>LEN(Table1[[#This Row],[Chest_Pain_Type]])</f>
        <v>11</v>
      </c>
      <c r="I173" s="1">
        <v>109</v>
      </c>
      <c r="J173" s="1" t="str" cm="1">
        <f t="array" ref="J17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73" s="1">
        <v>209</v>
      </c>
      <c r="L173" s="1" t="s">
        <v>16</v>
      </c>
      <c r="M173" s="1" t="str">
        <f>IF(Table1[[#This Row],[Fasting_Blood_Sugar]]="Yes","Diabetic Risk","Normal")</f>
        <v>Diabetic Risk</v>
      </c>
      <c r="N173" s="1" t="s">
        <v>20</v>
      </c>
      <c r="O173" s="1">
        <v>180</v>
      </c>
      <c r="P173" s="1" t="s">
        <v>14</v>
      </c>
      <c r="Q173" s="4" t="s">
        <v>14</v>
      </c>
      <c r="R173" s="1" t="str" cm="1">
        <f t="array" ref="R17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3" s="1">
        <f>IFERROR(Table1[[#This Row],[Cholesterol]]/Table1[[#This Row],[Max_Heart_Rate]],"")</f>
        <v>1.1611111111111112</v>
      </c>
    </row>
    <row r="174" spans="1:19">
      <c r="A174" s="3" t="s">
        <v>194</v>
      </c>
      <c r="B174" s="3" t="str">
        <f>RIGHT(Table1[[#This Row],[Patient_ID]],4)</f>
        <v>1172</v>
      </c>
      <c r="C174" s="1">
        <v>79</v>
      </c>
      <c r="D174" s="1" t="str">
        <f>VLOOKUP(Table1[[#This Row],[Age]],'Lookup &amp; Reference'!$G$2:$H$5,2,1)</f>
        <v>High</v>
      </c>
      <c r="E174" s="1" t="s">
        <v>18</v>
      </c>
      <c r="F174" s="1" t="str">
        <f>_xlfn.CONCAT(LEFT(Table1[[#This Row],[Gender]],1),Table1[[#This Row],[Age]])</f>
        <v>M79</v>
      </c>
      <c r="G174" s="1" t="s">
        <v>13</v>
      </c>
      <c r="H174" s="1">
        <f>LEN(Table1[[#This Row],[Chest_Pain_Type]])</f>
        <v>11</v>
      </c>
      <c r="I174" s="1">
        <v>150</v>
      </c>
      <c r="J174" s="1" t="str" cm="1">
        <f t="array" ref="J17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74" s="1">
        <v>309</v>
      </c>
      <c r="L174" s="1" t="s">
        <v>14</v>
      </c>
      <c r="M174" s="1" t="str">
        <f>IF(Table1[[#This Row],[Fasting_Blood_Sugar]]="Yes","Diabetic Risk","Normal")</f>
        <v>Normal</v>
      </c>
      <c r="N174" s="1" t="s">
        <v>27</v>
      </c>
      <c r="O174" s="1">
        <v>171</v>
      </c>
      <c r="P174" s="1" t="s">
        <v>14</v>
      </c>
      <c r="Q174" s="4" t="s">
        <v>16</v>
      </c>
      <c r="R174" s="1" t="str" cm="1">
        <f t="array" ref="R17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74" s="1">
        <f>IFERROR(Table1[[#This Row],[Cholesterol]]/Table1[[#This Row],[Max_Heart_Rate]],"")</f>
        <v>1.8070175438596492</v>
      </c>
    </row>
    <row r="175" spans="1:19">
      <c r="A175" s="3" t="s">
        <v>195</v>
      </c>
      <c r="B175" s="3" t="str">
        <f>RIGHT(Table1[[#This Row],[Patient_ID]],4)</f>
        <v>1173</v>
      </c>
      <c r="C175" s="1">
        <v>50</v>
      </c>
      <c r="D175" s="1" t="str">
        <f>VLOOKUP(Table1[[#This Row],[Age]],'Lookup &amp; Reference'!$G$2:$H$5,2,1)</f>
        <v>Medium</v>
      </c>
      <c r="E175" s="1" t="s">
        <v>18</v>
      </c>
      <c r="F175" s="1" t="str">
        <f>_xlfn.CONCAT(LEFT(Table1[[#This Row],[Gender]],1),Table1[[#This Row],[Age]])</f>
        <v>M50</v>
      </c>
      <c r="G175" s="1" t="s">
        <v>25</v>
      </c>
      <c r="H175" s="1">
        <f>LEN(Table1[[#This Row],[Chest_Pain_Type]])</f>
        <v>12</v>
      </c>
      <c r="I175" s="1">
        <v>124</v>
      </c>
      <c r="J175" s="1" t="str" cm="1">
        <f t="array" ref="J17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75" s="1">
        <v>339</v>
      </c>
      <c r="L175" s="1" t="s">
        <v>16</v>
      </c>
      <c r="M175" s="1" t="str">
        <f>IF(Table1[[#This Row],[Fasting_Blood_Sugar]]="Yes","Diabetic Risk","Normal")</f>
        <v>Diabetic Risk</v>
      </c>
      <c r="N175" s="1" t="s">
        <v>15</v>
      </c>
      <c r="O175" s="1">
        <v>181</v>
      </c>
      <c r="P175" s="1" t="s">
        <v>14</v>
      </c>
      <c r="Q175" s="4" t="s">
        <v>16</v>
      </c>
      <c r="R175" s="1" t="str" cm="1">
        <f t="array" ref="R17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75" s="1">
        <f>IFERROR(Table1[[#This Row],[Cholesterol]]/Table1[[#This Row],[Max_Heart_Rate]],"")</f>
        <v>1.8729281767955801</v>
      </c>
    </row>
    <row r="176" spans="1:19">
      <c r="A176" s="3" t="s">
        <v>196</v>
      </c>
      <c r="B176" s="3" t="str">
        <f>RIGHT(Table1[[#This Row],[Patient_ID]],4)</f>
        <v>1174</v>
      </c>
      <c r="C176" s="1">
        <v>56</v>
      </c>
      <c r="D176" s="1" t="str">
        <f>VLOOKUP(Table1[[#This Row],[Age]],'Lookup &amp; Reference'!$G$2:$H$5,2,1)</f>
        <v>Medium</v>
      </c>
      <c r="E176" s="1" t="s">
        <v>12</v>
      </c>
      <c r="F176" s="1" t="str">
        <f>_xlfn.CONCAT(LEFT(Table1[[#This Row],[Gender]],1),Table1[[#This Row],[Age]])</f>
        <v>F56</v>
      </c>
      <c r="G176" s="1" t="s">
        <v>25</v>
      </c>
      <c r="H176" s="1">
        <f>LEN(Table1[[#This Row],[Chest_Pain_Type]])</f>
        <v>12</v>
      </c>
      <c r="I176" s="1">
        <v>139</v>
      </c>
      <c r="J176" s="1" t="str" cm="1">
        <f t="array" ref="J17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76" s="1">
        <v>313</v>
      </c>
      <c r="L176" s="1" t="s">
        <v>16</v>
      </c>
      <c r="M176" s="1" t="str">
        <f>IF(Table1[[#This Row],[Fasting_Blood_Sugar]]="Yes","Diabetic Risk","Normal")</f>
        <v>Diabetic Risk</v>
      </c>
      <c r="N176" s="1" t="s">
        <v>27</v>
      </c>
      <c r="O176" s="1">
        <v>140</v>
      </c>
      <c r="P176" s="1" t="s">
        <v>16</v>
      </c>
      <c r="Q176" s="4" t="s">
        <v>16</v>
      </c>
      <c r="R176" s="1" t="str" cm="1">
        <f t="array" ref="R17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76" s="1">
        <f>IFERROR(Table1[[#This Row],[Cholesterol]]/Table1[[#This Row],[Max_Heart_Rate]],"")</f>
        <v>2.2357142857142858</v>
      </c>
    </row>
    <row r="177" spans="1:19">
      <c r="A177" s="3" t="s">
        <v>197</v>
      </c>
      <c r="B177" s="3" t="str">
        <f>RIGHT(Table1[[#This Row],[Patient_ID]],4)</f>
        <v>1175</v>
      </c>
      <c r="C177" s="1">
        <v>30</v>
      </c>
      <c r="D177" s="1" t="str">
        <f>VLOOKUP(Table1[[#This Row],[Age]],'Lookup &amp; Reference'!$G$2:$H$5,2,1)</f>
        <v>Low</v>
      </c>
      <c r="E177" s="1" t="s">
        <v>18</v>
      </c>
      <c r="F177" s="1" t="str">
        <f>_xlfn.CONCAT(LEFT(Table1[[#This Row],[Gender]],1),Table1[[#This Row],[Age]])</f>
        <v>M30</v>
      </c>
      <c r="G177" s="1" t="s">
        <v>22</v>
      </c>
      <c r="H177" s="1">
        <f>LEN(Table1[[#This Row],[Chest_Pain_Type]])</f>
        <v>15</v>
      </c>
      <c r="I177" s="1">
        <v>171</v>
      </c>
      <c r="J177" s="1" t="str" cm="1">
        <f t="array" ref="J17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77" s="1">
        <v>311</v>
      </c>
      <c r="L177" s="1" t="s">
        <v>14</v>
      </c>
      <c r="M177" s="1" t="str">
        <f>IF(Table1[[#This Row],[Fasting_Blood_Sugar]]="Yes","Diabetic Risk","Normal")</f>
        <v>Normal</v>
      </c>
      <c r="N177" s="1" t="s">
        <v>20</v>
      </c>
      <c r="O177" s="1">
        <v>136</v>
      </c>
      <c r="P177" s="1" t="s">
        <v>14</v>
      </c>
      <c r="Q177" s="4" t="s">
        <v>16</v>
      </c>
      <c r="R177" s="1" t="str" cm="1">
        <f t="array" ref="R17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7" s="1">
        <f>IFERROR(Table1[[#This Row],[Cholesterol]]/Table1[[#This Row],[Max_Heart_Rate]],"")</f>
        <v>2.2867647058823528</v>
      </c>
    </row>
    <row r="178" spans="1:19">
      <c r="A178" s="3" t="s">
        <v>198</v>
      </c>
      <c r="B178" s="3" t="str">
        <f>RIGHT(Table1[[#This Row],[Patient_ID]],4)</f>
        <v>1176</v>
      </c>
      <c r="C178" s="1">
        <v>70</v>
      </c>
      <c r="D178" s="1" t="str">
        <f>VLOOKUP(Table1[[#This Row],[Age]],'Lookup &amp; Reference'!$G$2:$H$5,2,1)</f>
        <v>High</v>
      </c>
      <c r="E178" s="1" t="s">
        <v>18</v>
      </c>
      <c r="F178" s="1" t="str">
        <f>_xlfn.CONCAT(LEFT(Table1[[#This Row],[Gender]],1),Table1[[#This Row],[Age]])</f>
        <v>M70</v>
      </c>
      <c r="G178" s="1" t="s">
        <v>13</v>
      </c>
      <c r="H178" s="1">
        <f>LEN(Table1[[#This Row],[Chest_Pain_Type]])</f>
        <v>11</v>
      </c>
      <c r="I178" s="1">
        <v>151</v>
      </c>
      <c r="J178" s="1" t="str" cm="1">
        <f t="array" ref="J17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78" s="1">
        <v>317</v>
      </c>
      <c r="L178" s="1" t="s">
        <v>14</v>
      </c>
      <c r="M178" s="1" t="str">
        <f>IF(Table1[[#This Row],[Fasting_Blood_Sugar]]="Yes","Diabetic Risk","Normal")</f>
        <v>Normal</v>
      </c>
      <c r="N178" s="1" t="s">
        <v>27</v>
      </c>
      <c r="O178" s="1">
        <v>200</v>
      </c>
      <c r="P178" s="1" t="s">
        <v>16</v>
      </c>
      <c r="Q178" s="4" t="s">
        <v>14</v>
      </c>
      <c r="R178" s="1" t="str" cm="1">
        <f t="array" ref="R17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8" s="1">
        <f>IFERROR(Table1[[#This Row],[Cholesterol]]/Table1[[#This Row],[Max_Heart_Rate]],"")</f>
        <v>1.585</v>
      </c>
    </row>
    <row r="179" spans="1:19">
      <c r="A179" s="3" t="s">
        <v>199</v>
      </c>
      <c r="B179" s="3" t="str">
        <f>RIGHT(Table1[[#This Row],[Patient_ID]],4)</f>
        <v>1177</v>
      </c>
      <c r="C179" s="1">
        <v>73</v>
      </c>
      <c r="D179" s="1" t="str">
        <f>VLOOKUP(Table1[[#This Row],[Age]],'Lookup &amp; Reference'!$G$2:$H$5,2,1)</f>
        <v>High</v>
      </c>
      <c r="E179" s="1" t="s">
        <v>18</v>
      </c>
      <c r="F179" s="1" t="str">
        <f>_xlfn.CONCAT(LEFT(Table1[[#This Row],[Gender]],1),Table1[[#This Row],[Age]])</f>
        <v>M73</v>
      </c>
      <c r="G179" s="1" t="s">
        <v>13</v>
      </c>
      <c r="H179" s="1">
        <f>LEN(Table1[[#This Row],[Chest_Pain_Type]])</f>
        <v>11</v>
      </c>
      <c r="I179" s="1">
        <v>106</v>
      </c>
      <c r="J179" s="1" t="str" cm="1">
        <f t="array" ref="J17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79" s="1">
        <v>182</v>
      </c>
      <c r="L179" s="1" t="s">
        <v>16</v>
      </c>
      <c r="M179" s="1" t="str">
        <f>IF(Table1[[#This Row],[Fasting_Blood_Sugar]]="Yes","Diabetic Risk","Normal")</f>
        <v>Diabetic Risk</v>
      </c>
      <c r="N179" s="1" t="s">
        <v>15</v>
      </c>
      <c r="O179" s="1">
        <v>93</v>
      </c>
      <c r="P179" s="1" t="s">
        <v>16</v>
      </c>
      <c r="Q179" s="4" t="s">
        <v>14</v>
      </c>
      <c r="R179" s="1" t="str" cm="1">
        <f t="array" ref="R17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79" s="1">
        <f>IFERROR(Table1[[#This Row],[Cholesterol]]/Table1[[#This Row],[Max_Heart_Rate]],"")</f>
        <v>1.956989247311828</v>
      </c>
    </row>
    <row r="180" spans="1:19">
      <c r="A180" s="3" t="s">
        <v>200</v>
      </c>
      <c r="B180" s="3" t="str">
        <f>RIGHT(Table1[[#This Row],[Patient_ID]],4)</f>
        <v>1178</v>
      </c>
      <c r="C180" s="1">
        <v>34</v>
      </c>
      <c r="D180" s="1" t="str">
        <f>VLOOKUP(Table1[[#This Row],[Age]],'Lookup &amp; Reference'!$G$2:$H$5,2,1)</f>
        <v>Low</v>
      </c>
      <c r="E180" s="1" t="s">
        <v>18</v>
      </c>
      <c r="F180" s="1" t="str">
        <f>_xlfn.CONCAT(LEFT(Table1[[#This Row],[Gender]],1),Table1[[#This Row],[Age]])</f>
        <v>M34</v>
      </c>
      <c r="G180" s="1" t="s">
        <v>19</v>
      </c>
      <c r="H180" s="1">
        <f>LEN(Table1[[#This Row],[Chest_Pain_Type]])</f>
        <v>14</v>
      </c>
      <c r="I180" s="1">
        <v>177</v>
      </c>
      <c r="J180" s="1" t="str" cm="1">
        <f t="array" ref="J18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80" s="1">
        <v>192</v>
      </c>
      <c r="L180" s="1" t="s">
        <v>14</v>
      </c>
      <c r="M180" s="1" t="str">
        <f>IF(Table1[[#This Row],[Fasting_Blood_Sugar]]="Yes","Diabetic Risk","Normal")</f>
        <v>Normal</v>
      </c>
      <c r="N180" s="1" t="s">
        <v>27</v>
      </c>
      <c r="O180" s="1">
        <v>96</v>
      </c>
      <c r="P180" s="1" t="s">
        <v>16</v>
      </c>
      <c r="Q180" s="4" t="s">
        <v>14</v>
      </c>
      <c r="R180" s="1" t="str" cm="1">
        <f t="array" ref="R18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80" s="1">
        <f>IFERROR(Table1[[#This Row],[Cholesterol]]/Table1[[#This Row],[Max_Heart_Rate]],"")</f>
        <v>2</v>
      </c>
    </row>
    <row r="181" spans="1:19">
      <c r="A181" s="3" t="s">
        <v>201</v>
      </c>
      <c r="B181" s="3" t="str">
        <f>RIGHT(Table1[[#This Row],[Patient_ID]],4)</f>
        <v>1179</v>
      </c>
      <c r="C181" s="1">
        <v>56</v>
      </c>
      <c r="D181" s="1" t="str">
        <f>VLOOKUP(Table1[[#This Row],[Age]],'Lookup &amp; Reference'!$G$2:$H$5,2,1)</f>
        <v>Medium</v>
      </c>
      <c r="E181" s="1" t="s">
        <v>12</v>
      </c>
      <c r="F181" s="1" t="str">
        <f>_xlfn.CONCAT(LEFT(Table1[[#This Row],[Gender]],1),Table1[[#This Row],[Age]])</f>
        <v>F56</v>
      </c>
      <c r="G181" s="1" t="s">
        <v>25</v>
      </c>
      <c r="H181" s="1">
        <f>LEN(Table1[[#This Row],[Chest_Pain_Type]])</f>
        <v>12</v>
      </c>
      <c r="I181" s="1">
        <v>92</v>
      </c>
      <c r="J181" s="1" t="str" cm="1">
        <f t="array" ref="J18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81" s="1">
        <v>280</v>
      </c>
      <c r="L181" s="1" t="s">
        <v>14</v>
      </c>
      <c r="M181" s="1" t="str">
        <f>IF(Table1[[#This Row],[Fasting_Blood_Sugar]]="Yes","Diabetic Risk","Normal")</f>
        <v>Normal</v>
      </c>
      <c r="N181" s="1" t="s">
        <v>15</v>
      </c>
      <c r="O181" s="1">
        <v>198</v>
      </c>
      <c r="P181" s="1" t="s">
        <v>16</v>
      </c>
      <c r="Q181" s="4" t="s">
        <v>16</v>
      </c>
      <c r="R181" s="1" t="str" cm="1">
        <f t="array" ref="R18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81" s="1">
        <f>IFERROR(Table1[[#This Row],[Cholesterol]]/Table1[[#This Row],[Max_Heart_Rate]],"")</f>
        <v>1.4141414141414141</v>
      </c>
    </row>
    <row r="182" spans="1:19">
      <c r="A182" s="3" t="s">
        <v>202</v>
      </c>
      <c r="B182" s="3" t="str">
        <f>RIGHT(Table1[[#This Row],[Patient_ID]],4)</f>
        <v>1180</v>
      </c>
      <c r="C182" s="1">
        <v>56</v>
      </c>
      <c r="D182" s="1" t="str">
        <f>VLOOKUP(Table1[[#This Row],[Age]],'Lookup &amp; Reference'!$G$2:$H$5,2,1)</f>
        <v>Medium</v>
      </c>
      <c r="E182" s="1" t="s">
        <v>12</v>
      </c>
      <c r="F182" s="1" t="str">
        <f>_xlfn.CONCAT(LEFT(Table1[[#This Row],[Gender]],1),Table1[[#This Row],[Age]])</f>
        <v>F56</v>
      </c>
      <c r="G182" s="1" t="s">
        <v>13</v>
      </c>
      <c r="H182" s="1">
        <f>LEN(Table1[[#This Row],[Chest_Pain_Type]])</f>
        <v>11</v>
      </c>
      <c r="I182" s="1">
        <v>121</v>
      </c>
      <c r="J182" s="1" t="str" cm="1">
        <f t="array" ref="J18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182" s="1">
        <v>288</v>
      </c>
      <c r="L182" s="1" t="s">
        <v>16</v>
      </c>
      <c r="M182" s="1" t="str">
        <f>IF(Table1[[#This Row],[Fasting_Blood_Sugar]]="Yes","Diabetic Risk","Normal")</f>
        <v>Diabetic Risk</v>
      </c>
      <c r="N182" s="1" t="s">
        <v>27</v>
      </c>
      <c r="O182" s="1">
        <v>124</v>
      </c>
      <c r="P182" s="1" t="s">
        <v>16</v>
      </c>
      <c r="Q182" s="4" t="s">
        <v>14</v>
      </c>
      <c r="R182" s="1" t="str" cm="1">
        <f t="array" ref="R18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82" s="1">
        <f>IFERROR(Table1[[#This Row],[Cholesterol]]/Table1[[#This Row],[Max_Heart_Rate]],"")</f>
        <v>2.3225806451612905</v>
      </c>
    </row>
    <row r="183" spans="1:19">
      <c r="A183" s="3" t="s">
        <v>203</v>
      </c>
      <c r="B183" s="3" t="str">
        <f>RIGHT(Table1[[#This Row],[Patient_ID]],4)</f>
        <v>1181</v>
      </c>
      <c r="C183" s="1">
        <v>72</v>
      </c>
      <c r="D183" s="1" t="str">
        <f>VLOOKUP(Table1[[#This Row],[Age]],'Lookup &amp; Reference'!$G$2:$H$5,2,1)</f>
        <v>High</v>
      </c>
      <c r="E183" s="1" t="s">
        <v>18</v>
      </c>
      <c r="F183" s="1" t="str">
        <f>_xlfn.CONCAT(LEFT(Table1[[#This Row],[Gender]],1),Table1[[#This Row],[Age]])</f>
        <v>M72</v>
      </c>
      <c r="G183" s="1" t="s">
        <v>22</v>
      </c>
      <c r="H183" s="1">
        <f>LEN(Table1[[#This Row],[Chest_Pain_Type]])</f>
        <v>15</v>
      </c>
      <c r="I183" s="1">
        <v>188</v>
      </c>
      <c r="J183" s="1" t="str" cm="1">
        <f t="array" ref="J18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83" s="1">
        <v>208</v>
      </c>
      <c r="L183" s="1" t="s">
        <v>16</v>
      </c>
      <c r="M183" s="1" t="str">
        <f>IF(Table1[[#This Row],[Fasting_Blood_Sugar]]="Yes","Diabetic Risk","Normal")</f>
        <v>Diabetic Risk</v>
      </c>
      <c r="N183" s="1" t="s">
        <v>15</v>
      </c>
      <c r="O183" s="1">
        <v>137</v>
      </c>
      <c r="P183" s="1" t="s">
        <v>14</v>
      </c>
      <c r="Q183" s="4" t="s">
        <v>16</v>
      </c>
      <c r="R183" s="1" t="str" cm="1">
        <f t="array" ref="R18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83" s="1">
        <f>IFERROR(Table1[[#This Row],[Cholesterol]]/Table1[[#This Row],[Max_Heart_Rate]],"")</f>
        <v>1.5182481751824817</v>
      </c>
    </row>
    <row r="184" spans="1:19">
      <c r="A184" s="3" t="s">
        <v>204</v>
      </c>
      <c r="B184" s="3" t="str">
        <f>RIGHT(Table1[[#This Row],[Patient_ID]],4)</f>
        <v>1182</v>
      </c>
      <c r="C184" s="1">
        <v>72</v>
      </c>
      <c r="D184" s="1" t="str">
        <f>VLOOKUP(Table1[[#This Row],[Age]],'Lookup &amp; Reference'!$G$2:$H$5,2,1)</f>
        <v>High</v>
      </c>
      <c r="E184" s="1" t="s">
        <v>12</v>
      </c>
      <c r="F184" s="1" t="str">
        <f>_xlfn.CONCAT(LEFT(Table1[[#This Row],[Gender]],1),Table1[[#This Row],[Age]])</f>
        <v>F72</v>
      </c>
      <c r="G184" s="1" t="s">
        <v>22</v>
      </c>
      <c r="H184" s="1">
        <f>LEN(Table1[[#This Row],[Chest_Pain_Type]])</f>
        <v>15</v>
      </c>
      <c r="I184" s="1">
        <v>102</v>
      </c>
      <c r="J184" s="1" t="str" cm="1">
        <f t="array" ref="J18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84" s="1">
        <v>295</v>
      </c>
      <c r="L184" s="1" t="s">
        <v>16</v>
      </c>
      <c r="M184" s="1" t="str">
        <f>IF(Table1[[#This Row],[Fasting_Blood_Sugar]]="Yes","Diabetic Risk","Normal")</f>
        <v>Diabetic Risk</v>
      </c>
      <c r="N184" s="1" t="s">
        <v>15</v>
      </c>
      <c r="O184" s="1">
        <v>162</v>
      </c>
      <c r="P184" s="1" t="s">
        <v>14</v>
      </c>
      <c r="Q184" s="4" t="s">
        <v>16</v>
      </c>
      <c r="R184" s="1" t="str" cm="1">
        <f t="array" ref="R18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84" s="1">
        <f>IFERROR(Table1[[#This Row],[Cholesterol]]/Table1[[#This Row],[Max_Heart_Rate]],"")</f>
        <v>1.8209876543209877</v>
      </c>
    </row>
    <row r="185" spans="1:19">
      <c r="A185" s="3" t="s">
        <v>205</v>
      </c>
      <c r="B185" s="3" t="str">
        <f>RIGHT(Table1[[#This Row],[Patient_ID]],4)</f>
        <v>1183</v>
      </c>
      <c r="C185" s="1">
        <v>48</v>
      </c>
      <c r="D185" s="1" t="str">
        <f>VLOOKUP(Table1[[#This Row],[Age]],'Lookup &amp; Reference'!$G$2:$H$5,2,1)</f>
        <v>Medium</v>
      </c>
      <c r="E185" s="1" t="s">
        <v>18</v>
      </c>
      <c r="F185" s="1" t="str">
        <f>_xlfn.CONCAT(LEFT(Table1[[#This Row],[Gender]],1),Table1[[#This Row],[Age]])</f>
        <v>M48</v>
      </c>
      <c r="G185" s="1" t="s">
        <v>25</v>
      </c>
      <c r="H185" s="1">
        <f>LEN(Table1[[#This Row],[Chest_Pain_Type]])</f>
        <v>12</v>
      </c>
      <c r="I185" s="1">
        <v>178</v>
      </c>
      <c r="J185" s="1" t="str" cm="1">
        <f t="array" ref="J18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85" s="1">
        <v>132</v>
      </c>
      <c r="L185" s="1" t="s">
        <v>14</v>
      </c>
      <c r="M185" s="1" t="str">
        <f>IF(Table1[[#This Row],[Fasting_Blood_Sugar]]="Yes","Diabetic Risk","Normal")</f>
        <v>Normal</v>
      </c>
      <c r="N185" s="1" t="s">
        <v>20</v>
      </c>
      <c r="O185" s="1">
        <v>161</v>
      </c>
      <c r="P185" s="1" t="s">
        <v>14</v>
      </c>
      <c r="Q185" s="4" t="s">
        <v>16</v>
      </c>
      <c r="R185" s="1" t="str" cm="1">
        <f t="array" ref="R18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85" s="1">
        <f>IFERROR(Table1[[#This Row],[Cholesterol]]/Table1[[#This Row],[Max_Heart_Rate]],"")</f>
        <v>0.81987577639751552</v>
      </c>
    </row>
    <row r="186" spans="1:19">
      <c r="A186" s="3" t="s">
        <v>206</v>
      </c>
      <c r="B186" s="3" t="str">
        <f>RIGHT(Table1[[#This Row],[Patient_ID]],4)</f>
        <v>1184</v>
      </c>
      <c r="C186" s="1">
        <v>58</v>
      </c>
      <c r="D186" s="1" t="str">
        <f>VLOOKUP(Table1[[#This Row],[Age]],'Lookup &amp; Reference'!$G$2:$H$5,2,1)</f>
        <v>Medium</v>
      </c>
      <c r="E186" s="1" t="s">
        <v>18</v>
      </c>
      <c r="F186" s="1" t="str">
        <f>_xlfn.CONCAT(LEFT(Table1[[#This Row],[Gender]],1),Table1[[#This Row],[Age]])</f>
        <v>M58</v>
      </c>
      <c r="G186" s="1" t="s">
        <v>22</v>
      </c>
      <c r="H186" s="1">
        <f>LEN(Table1[[#This Row],[Chest_Pain_Type]])</f>
        <v>15</v>
      </c>
      <c r="I186" s="1">
        <v>162</v>
      </c>
      <c r="J186" s="1" t="str" cm="1">
        <f t="array" ref="J18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86" s="1">
        <v>192</v>
      </c>
      <c r="L186" s="1" t="s">
        <v>16</v>
      </c>
      <c r="M186" s="1" t="str">
        <f>IF(Table1[[#This Row],[Fasting_Blood_Sugar]]="Yes","Diabetic Risk","Normal")</f>
        <v>Diabetic Risk</v>
      </c>
      <c r="N186" s="1" t="s">
        <v>15</v>
      </c>
      <c r="O186" s="1">
        <v>205</v>
      </c>
      <c r="P186" s="1" t="s">
        <v>14</v>
      </c>
      <c r="Q186" s="4" t="s">
        <v>16</v>
      </c>
      <c r="R186" s="1" t="str" cm="1">
        <f t="array" ref="R18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86" s="1">
        <f>IFERROR(Table1[[#This Row],[Cholesterol]]/Table1[[#This Row],[Max_Heart_Rate]],"")</f>
        <v>0.93658536585365859</v>
      </c>
    </row>
    <row r="187" spans="1:19">
      <c r="A187" s="3" t="s">
        <v>207</v>
      </c>
      <c r="B187" s="3" t="str">
        <f>RIGHT(Table1[[#This Row],[Patient_ID]],4)</f>
        <v>1185</v>
      </c>
      <c r="C187" s="1">
        <v>39</v>
      </c>
      <c r="D187" s="1" t="str">
        <f>VLOOKUP(Table1[[#This Row],[Age]],'Lookup &amp; Reference'!$G$2:$H$5,2,1)</f>
        <v>Low</v>
      </c>
      <c r="E187" s="1" t="s">
        <v>18</v>
      </c>
      <c r="F187" s="1" t="str">
        <f>_xlfn.CONCAT(LEFT(Table1[[#This Row],[Gender]],1),Table1[[#This Row],[Age]])</f>
        <v>M39</v>
      </c>
      <c r="G187" s="1" t="s">
        <v>22</v>
      </c>
      <c r="H187" s="1">
        <f>LEN(Table1[[#This Row],[Chest_Pain_Type]])</f>
        <v>15</v>
      </c>
      <c r="I187" s="1">
        <v>157</v>
      </c>
      <c r="J187" s="1" t="str" cm="1">
        <f t="array" ref="J18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87" s="1">
        <v>196</v>
      </c>
      <c r="L187" s="1" t="s">
        <v>14</v>
      </c>
      <c r="M187" s="1" t="str">
        <f>IF(Table1[[#This Row],[Fasting_Blood_Sugar]]="Yes","Diabetic Risk","Normal")</f>
        <v>Normal</v>
      </c>
      <c r="N187" s="1" t="s">
        <v>20</v>
      </c>
      <c r="O187" s="1">
        <v>134</v>
      </c>
      <c r="P187" s="1" t="s">
        <v>16</v>
      </c>
      <c r="Q187" s="4" t="s">
        <v>16</v>
      </c>
      <c r="R187" s="1" t="str" cm="1">
        <f t="array" ref="R18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87" s="1">
        <f>IFERROR(Table1[[#This Row],[Cholesterol]]/Table1[[#This Row],[Max_Heart_Rate]],"")</f>
        <v>1.4626865671641791</v>
      </c>
    </row>
    <row r="188" spans="1:19">
      <c r="A188" s="3" t="s">
        <v>208</v>
      </c>
      <c r="B188" s="3" t="str">
        <f>RIGHT(Table1[[#This Row],[Patient_ID]],4)</f>
        <v>1186</v>
      </c>
      <c r="C188" s="1">
        <v>56</v>
      </c>
      <c r="D188" s="1" t="str">
        <f>VLOOKUP(Table1[[#This Row],[Age]],'Lookup &amp; Reference'!$G$2:$H$5,2,1)</f>
        <v>Medium</v>
      </c>
      <c r="E188" s="1" t="s">
        <v>12</v>
      </c>
      <c r="F188" s="1" t="str">
        <f>_xlfn.CONCAT(LEFT(Table1[[#This Row],[Gender]],1),Table1[[#This Row],[Age]])</f>
        <v>F56</v>
      </c>
      <c r="G188" s="1" t="s">
        <v>25</v>
      </c>
      <c r="H188" s="1">
        <f>LEN(Table1[[#This Row],[Chest_Pain_Type]])</f>
        <v>12</v>
      </c>
      <c r="I188" s="1">
        <v>103</v>
      </c>
      <c r="J188" s="1" t="str" cm="1">
        <f t="array" ref="J18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88" s="1">
        <v>278</v>
      </c>
      <c r="L188" s="1" t="s">
        <v>16</v>
      </c>
      <c r="M188" s="1" t="str">
        <f>IF(Table1[[#This Row],[Fasting_Blood_Sugar]]="Yes","Diabetic Risk","Normal")</f>
        <v>Diabetic Risk</v>
      </c>
      <c r="N188" s="1" t="s">
        <v>20</v>
      </c>
      <c r="O188" s="1">
        <v>170</v>
      </c>
      <c r="P188" s="1" t="s">
        <v>14</v>
      </c>
      <c r="Q188" s="4" t="s">
        <v>14</v>
      </c>
      <c r="R188" s="1" t="str" cm="1">
        <f t="array" ref="R18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88" s="1">
        <f>IFERROR(Table1[[#This Row],[Cholesterol]]/Table1[[#This Row],[Max_Heart_Rate]],"")</f>
        <v>1.6352941176470588</v>
      </c>
    </row>
    <row r="189" spans="1:19">
      <c r="A189" s="3" t="s">
        <v>209</v>
      </c>
      <c r="B189" s="3" t="str">
        <f>RIGHT(Table1[[#This Row],[Patient_ID]],4)</f>
        <v>1187</v>
      </c>
      <c r="C189" s="1">
        <v>53</v>
      </c>
      <c r="D189" s="1" t="str">
        <f>VLOOKUP(Table1[[#This Row],[Age]],'Lookup &amp; Reference'!$G$2:$H$5,2,1)</f>
        <v>Medium</v>
      </c>
      <c r="E189" s="1" t="s">
        <v>12</v>
      </c>
      <c r="F189" s="1" t="str">
        <f>_xlfn.CONCAT(LEFT(Table1[[#This Row],[Gender]],1),Table1[[#This Row],[Age]])</f>
        <v>F53</v>
      </c>
      <c r="G189" s="1" t="s">
        <v>13</v>
      </c>
      <c r="H189" s="1">
        <f>LEN(Table1[[#This Row],[Chest_Pain_Type]])</f>
        <v>11</v>
      </c>
      <c r="I189" s="1">
        <v>187</v>
      </c>
      <c r="J189" s="1" t="str" cm="1">
        <f t="array" ref="J18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89" s="1">
        <v>322</v>
      </c>
      <c r="L189" s="1" t="s">
        <v>16</v>
      </c>
      <c r="M189" s="1" t="str">
        <f>IF(Table1[[#This Row],[Fasting_Blood_Sugar]]="Yes","Diabetic Risk","Normal")</f>
        <v>Diabetic Risk</v>
      </c>
      <c r="N189" s="1" t="s">
        <v>20</v>
      </c>
      <c r="O189" s="1">
        <v>170</v>
      </c>
      <c r="P189" s="1" t="s">
        <v>14</v>
      </c>
      <c r="Q189" s="4" t="s">
        <v>14</v>
      </c>
      <c r="R189" s="1" t="str" cm="1">
        <f t="array" ref="R18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89" s="1">
        <f>IFERROR(Table1[[#This Row],[Cholesterol]]/Table1[[#This Row],[Max_Heart_Rate]],"")</f>
        <v>1.8941176470588235</v>
      </c>
    </row>
    <row r="190" spans="1:19">
      <c r="A190" s="3" t="s">
        <v>210</v>
      </c>
      <c r="B190" s="3" t="str">
        <f>RIGHT(Table1[[#This Row],[Patient_ID]],4)</f>
        <v>1188</v>
      </c>
      <c r="C190" s="1">
        <v>67</v>
      </c>
      <c r="D190" s="1" t="str">
        <f>VLOOKUP(Table1[[#This Row],[Age]],'Lookup &amp; Reference'!$G$2:$H$5,2,1)</f>
        <v>High</v>
      </c>
      <c r="E190" s="1" t="s">
        <v>12</v>
      </c>
      <c r="F190" s="1" t="str">
        <f>_xlfn.CONCAT(LEFT(Table1[[#This Row],[Gender]],1),Table1[[#This Row],[Age]])</f>
        <v>F67</v>
      </c>
      <c r="G190" s="1" t="s">
        <v>13</v>
      </c>
      <c r="H190" s="1">
        <f>LEN(Table1[[#This Row],[Chest_Pain_Type]])</f>
        <v>11</v>
      </c>
      <c r="I190" s="1">
        <v>100</v>
      </c>
      <c r="J190" s="1" t="str" cm="1">
        <f t="array" ref="J19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90" s="1">
        <v>187</v>
      </c>
      <c r="L190" s="1" t="s">
        <v>16</v>
      </c>
      <c r="M190" s="1" t="str">
        <f>IF(Table1[[#This Row],[Fasting_Blood_Sugar]]="Yes","Diabetic Risk","Normal")</f>
        <v>Diabetic Risk</v>
      </c>
      <c r="N190" s="1" t="s">
        <v>27</v>
      </c>
      <c r="O190" s="1">
        <v>202</v>
      </c>
      <c r="P190" s="1" t="s">
        <v>16</v>
      </c>
      <c r="Q190" s="4" t="s">
        <v>16</v>
      </c>
      <c r="R190" s="1" t="str" cm="1">
        <f t="array" ref="R19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90" s="1">
        <f>IFERROR(Table1[[#This Row],[Cholesterol]]/Table1[[#This Row],[Max_Heart_Rate]],"")</f>
        <v>0.92574257425742579</v>
      </c>
    </row>
    <row r="191" spans="1:19">
      <c r="A191" s="3" t="s">
        <v>211</v>
      </c>
      <c r="B191" s="3" t="str">
        <f>RIGHT(Table1[[#This Row],[Patient_ID]],4)</f>
        <v>1189</v>
      </c>
      <c r="C191" s="1">
        <v>61</v>
      </c>
      <c r="D191" s="1" t="str">
        <f>VLOOKUP(Table1[[#This Row],[Age]],'Lookup &amp; Reference'!$G$2:$H$5,2,1)</f>
        <v>High</v>
      </c>
      <c r="E191" s="1" t="s">
        <v>12</v>
      </c>
      <c r="F191" s="1" t="str">
        <f>_xlfn.CONCAT(LEFT(Table1[[#This Row],[Gender]],1),Table1[[#This Row],[Age]])</f>
        <v>F61</v>
      </c>
      <c r="G191" s="1" t="s">
        <v>22</v>
      </c>
      <c r="H191" s="1">
        <f>LEN(Table1[[#This Row],[Chest_Pain_Type]])</f>
        <v>15</v>
      </c>
      <c r="I191" s="1">
        <v>145</v>
      </c>
      <c r="J191" s="1" t="str" cm="1">
        <f t="array" ref="J19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91" s="1">
        <v>217</v>
      </c>
      <c r="L191" s="1" t="s">
        <v>14</v>
      </c>
      <c r="M191" s="1" t="str">
        <f>IF(Table1[[#This Row],[Fasting_Blood_Sugar]]="Yes","Diabetic Risk","Normal")</f>
        <v>Normal</v>
      </c>
      <c r="N191" s="1" t="s">
        <v>27</v>
      </c>
      <c r="O191" s="1">
        <v>186</v>
      </c>
      <c r="P191" s="1" t="s">
        <v>16</v>
      </c>
      <c r="Q191" s="4" t="s">
        <v>14</v>
      </c>
      <c r="R191" s="1" t="str" cm="1">
        <f t="array" ref="R19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1" s="1">
        <f>IFERROR(Table1[[#This Row],[Cholesterol]]/Table1[[#This Row],[Max_Heart_Rate]],"")</f>
        <v>1.1666666666666667</v>
      </c>
    </row>
    <row r="192" spans="1:19">
      <c r="A192" s="3" t="s">
        <v>212</v>
      </c>
      <c r="B192" s="3" t="str">
        <f>RIGHT(Table1[[#This Row],[Patient_ID]],4)</f>
        <v>1190</v>
      </c>
      <c r="C192" s="1">
        <v>29</v>
      </c>
      <c r="D192" s="1" t="e">
        <f>VLOOKUP(Table1[[#This Row],[Age]],'Lookup &amp; Reference'!$G$2:$H$5,2,1)</f>
        <v>#N/A</v>
      </c>
      <c r="E192" s="1" t="s">
        <v>12</v>
      </c>
      <c r="F192" s="1" t="str">
        <f>_xlfn.CONCAT(LEFT(Table1[[#This Row],[Gender]],1),Table1[[#This Row],[Age]])</f>
        <v>F29</v>
      </c>
      <c r="G192" s="1" t="s">
        <v>22</v>
      </c>
      <c r="H192" s="1">
        <f>LEN(Table1[[#This Row],[Chest_Pain_Type]])</f>
        <v>15</v>
      </c>
      <c r="I192" s="1">
        <v>156</v>
      </c>
      <c r="J192" s="1" t="str" cm="1">
        <f t="array" ref="J19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92" s="1">
        <v>244</v>
      </c>
      <c r="L192" s="1" t="s">
        <v>14</v>
      </c>
      <c r="M192" s="1" t="str">
        <f>IF(Table1[[#This Row],[Fasting_Blood_Sugar]]="Yes","Diabetic Risk","Normal")</f>
        <v>Normal</v>
      </c>
      <c r="N192" s="1" t="s">
        <v>27</v>
      </c>
      <c r="O192" s="1">
        <v>185</v>
      </c>
      <c r="P192" s="1" t="s">
        <v>14</v>
      </c>
      <c r="Q192" s="4" t="s">
        <v>16</v>
      </c>
      <c r="R192" s="1" t="str" cm="1">
        <f t="array" ref="R19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2" s="1">
        <f>IFERROR(Table1[[#This Row],[Cholesterol]]/Table1[[#This Row],[Max_Heart_Rate]],"")</f>
        <v>1.318918918918919</v>
      </c>
    </row>
    <row r="193" spans="1:19">
      <c r="A193" s="3" t="s">
        <v>213</v>
      </c>
      <c r="B193" s="3" t="str">
        <f>RIGHT(Table1[[#This Row],[Patient_ID]],4)</f>
        <v>1191</v>
      </c>
      <c r="C193" s="1">
        <v>55</v>
      </c>
      <c r="D193" s="1" t="str">
        <f>VLOOKUP(Table1[[#This Row],[Age]],'Lookup &amp; Reference'!$G$2:$H$5,2,1)</f>
        <v>Medium</v>
      </c>
      <c r="E193" s="1" t="s">
        <v>12</v>
      </c>
      <c r="F193" s="1" t="str">
        <f>_xlfn.CONCAT(LEFT(Table1[[#This Row],[Gender]],1),Table1[[#This Row],[Age]])</f>
        <v>F55</v>
      </c>
      <c r="G193" s="1" t="s">
        <v>13</v>
      </c>
      <c r="H193" s="1">
        <f>LEN(Table1[[#This Row],[Chest_Pain_Type]])</f>
        <v>11</v>
      </c>
      <c r="I193" s="1">
        <v>181</v>
      </c>
      <c r="J193" s="1" t="str" cm="1">
        <f t="array" ref="J19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93" s="1">
        <v>221</v>
      </c>
      <c r="L193" s="1" t="s">
        <v>16</v>
      </c>
      <c r="M193" s="1" t="str">
        <f>IF(Table1[[#This Row],[Fasting_Blood_Sugar]]="Yes","Diabetic Risk","Normal")</f>
        <v>Diabetic Risk</v>
      </c>
      <c r="N193" s="1" t="s">
        <v>27</v>
      </c>
      <c r="O193" s="1">
        <v>161</v>
      </c>
      <c r="P193" s="1" t="s">
        <v>14</v>
      </c>
      <c r="Q193" s="4" t="s">
        <v>16</v>
      </c>
      <c r="R193" s="1" t="str" cm="1">
        <f t="array" ref="R19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193" s="1">
        <f>IFERROR(Table1[[#This Row],[Cholesterol]]/Table1[[#This Row],[Max_Heart_Rate]],"")</f>
        <v>1.3726708074534162</v>
      </c>
    </row>
    <row r="194" spans="1:19">
      <c r="A194" s="3" t="s">
        <v>214</v>
      </c>
      <c r="B194" s="3" t="str">
        <f>RIGHT(Table1[[#This Row],[Patient_ID]],4)</f>
        <v>1192</v>
      </c>
      <c r="C194" s="1">
        <v>41</v>
      </c>
      <c r="D194" s="1" t="str">
        <f>VLOOKUP(Table1[[#This Row],[Age]],'Lookup &amp; Reference'!$G$2:$H$5,2,1)</f>
        <v>Low</v>
      </c>
      <c r="E194" s="1" t="s">
        <v>12</v>
      </c>
      <c r="F194" s="1" t="str">
        <f>_xlfn.CONCAT(LEFT(Table1[[#This Row],[Gender]],1),Table1[[#This Row],[Age]])</f>
        <v>F41</v>
      </c>
      <c r="G194" s="1" t="s">
        <v>25</v>
      </c>
      <c r="H194" s="1">
        <f>LEN(Table1[[#This Row],[Chest_Pain_Type]])</f>
        <v>12</v>
      </c>
      <c r="I194" s="1">
        <v>118</v>
      </c>
      <c r="J194" s="1" t="str" cm="1">
        <f t="array" ref="J19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94" s="1">
        <v>251</v>
      </c>
      <c r="L194" s="1" t="s">
        <v>16</v>
      </c>
      <c r="M194" s="1" t="str">
        <f>IF(Table1[[#This Row],[Fasting_Blood_Sugar]]="Yes","Diabetic Risk","Normal")</f>
        <v>Diabetic Risk</v>
      </c>
      <c r="N194" s="1" t="s">
        <v>15</v>
      </c>
      <c r="O194" s="1">
        <v>108</v>
      </c>
      <c r="P194" s="1" t="s">
        <v>16</v>
      </c>
      <c r="Q194" s="4" t="s">
        <v>16</v>
      </c>
      <c r="R194" s="1" t="str" cm="1">
        <f t="array" ref="R19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4" s="1">
        <f>IFERROR(Table1[[#This Row],[Cholesterol]]/Table1[[#This Row],[Max_Heart_Rate]],"")</f>
        <v>2.324074074074074</v>
      </c>
    </row>
    <row r="195" spans="1:19">
      <c r="A195" s="3" t="s">
        <v>215</v>
      </c>
      <c r="B195" s="3" t="str">
        <f>RIGHT(Table1[[#This Row],[Patient_ID]],4)</f>
        <v>1193</v>
      </c>
      <c r="C195" s="1">
        <v>69</v>
      </c>
      <c r="D195" s="1" t="str">
        <f>VLOOKUP(Table1[[#This Row],[Age]],'Lookup &amp; Reference'!$G$2:$H$5,2,1)</f>
        <v>High</v>
      </c>
      <c r="E195" s="1" t="s">
        <v>12</v>
      </c>
      <c r="F195" s="1" t="str">
        <f>_xlfn.CONCAT(LEFT(Table1[[#This Row],[Gender]],1),Table1[[#This Row],[Age]])</f>
        <v>F69</v>
      </c>
      <c r="G195" s="1" t="s">
        <v>22</v>
      </c>
      <c r="H195" s="1">
        <f>LEN(Table1[[#This Row],[Chest_Pain_Type]])</f>
        <v>15</v>
      </c>
      <c r="I195" s="1">
        <v>98</v>
      </c>
      <c r="J195" s="1" t="str" cm="1">
        <f t="array" ref="J19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95" s="1">
        <v>221</v>
      </c>
      <c r="L195" s="1" t="s">
        <v>16</v>
      </c>
      <c r="M195" s="1" t="str">
        <f>IF(Table1[[#This Row],[Fasting_Blood_Sugar]]="Yes","Diabetic Risk","Normal")</f>
        <v>Diabetic Risk</v>
      </c>
      <c r="N195" s="1" t="s">
        <v>15</v>
      </c>
      <c r="O195" s="1">
        <v>152</v>
      </c>
      <c r="P195" s="1" t="s">
        <v>14</v>
      </c>
      <c r="Q195" s="4" t="s">
        <v>14</v>
      </c>
      <c r="R195" s="1" t="str" cm="1">
        <f t="array" ref="R19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5" s="1">
        <f>IFERROR(Table1[[#This Row],[Cholesterol]]/Table1[[#This Row],[Max_Heart_Rate]],"")</f>
        <v>1.4539473684210527</v>
      </c>
    </row>
    <row r="196" spans="1:19">
      <c r="A196" s="3" t="s">
        <v>216</v>
      </c>
      <c r="B196" s="3" t="str">
        <f>RIGHT(Table1[[#This Row],[Patient_ID]],4)</f>
        <v>1194</v>
      </c>
      <c r="C196" s="1">
        <v>31</v>
      </c>
      <c r="D196" s="1" t="str">
        <f>VLOOKUP(Table1[[#This Row],[Age]],'Lookup &amp; Reference'!$G$2:$H$5,2,1)</f>
        <v>Low</v>
      </c>
      <c r="E196" s="1" t="s">
        <v>12</v>
      </c>
      <c r="F196" s="1" t="str">
        <f>_xlfn.CONCAT(LEFT(Table1[[#This Row],[Gender]],1),Table1[[#This Row],[Age]])</f>
        <v>F31</v>
      </c>
      <c r="G196" s="1" t="s">
        <v>19</v>
      </c>
      <c r="H196" s="1">
        <f>LEN(Table1[[#This Row],[Chest_Pain_Type]])</f>
        <v>14</v>
      </c>
      <c r="I196" s="1">
        <v>156</v>
      </c>
      <c r="J196" s="1" t="str" cm="1">
        <f t="array" ref="J19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96" s="1">
        <v>138</v>
      </c>
      <c r="L196" s="1" t="s">
        <v>14</v>
      </c>
      <c r="M196" s="1" t="str">
        <f>IF(Table1[[#This Row],[Fasting_Blood_Sugar]]="Yes","Diabetic Risk","Normal")</f>
        <v>Normal</v>
      </c>
      <c r="N196" s="1" t="s">
        <v>27</v>
      </c>
      <c r="O196" s="1">
        <v>127</v>
      </c>
      <c r="P196" s="1" t="s">
        <v>14</v>
      </c>
      <c r="Q196" s="4" t="s">
        <v>16</v>
      </c>
      <c r="R196" s="1" t="str" cm="1">
        <f t="array" ref="R19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6" s="1">
        <f>IFERROR(Table1[[#This Row],[Cholesterol]]/Table1[[#This Row],[Max_Heart_Rate]],"")</f>
        <v>1.0866141732283465</v>
      </c>
    </row>
    <row r="197" spans="1:19">
      <c r="A197" s="3" t="s">
        <v>217</v>
      </c>
      <c r="B197" s="3" t="str">
        <f>RIGHT(Table1[[#This Row],[Patient_ID]],4)</f>
        <v>1195</v>
      </c>
      <c r="C197" s="1">
        <v>67</v>
      </c>
      <c r="D197" s="1" t="str">
        <f>VLOOKUP(Table1[[#This Row],[Age]],'Lookup &amp; Reference'!$G$2:$H$5,2,1)</f>
        <v>High</v>
      </c>
      <c r="E197" s="1" t="s">
        <v>18</v>
      </c>
      <c r="F197" s="1" t="str">
        <f>_xlfn.CONCAT(LEFT(Table1[[#This Row],[Gender]],1),Table1[[#This Row],[Age]])</f>
        <v>M67</v>
      </c>
      <c r="G197" s="1" t="s">
        <v>25</v>
      </c>
      <c r="H197" s="1">
        <f>LEN(Table1[[#This Row],[Chest_Pain_Type]])</f>
        <v>12</v>
      </c>
      <c r="I197" s="1">
        <v>114</v>
      </c>
      <c r="J197" s="1" t="str" cm="1">
        <f t="array" ref="J19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197" s="1">
        <v>317</v>
      </c>
      <c r="L197" s="1" t="s">
        <v>16</v>
      </c>
      <c r="M197" s="1" t="str">
        <f>IF(Table1[[#This Row],[Fasting_Blood_Sugar]]="Yes","Diabetic Risk","Normal")</f>
        <v>Diabetic Risk</v>
      </c>
      <c r="N197" s="1" t="s">
        <v>15</v>
      </c>
      <c r="O197" s="1">
        <v>156</v>
      </c>
      <c r="P197" s="1" t="s">
        <v>14</v>
      </c>
      <c r="Q197" s="4" t="s">
        <v>16</v>
      </c>
      <c r="R197" s="1" t="str" cm="1">
        <f t="array" ref="R19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197" s="1">
        <f>IFERROR(Table1[[#This Row],[Cholesterol]]/Table1[[#This Row],[Max_Heart_Rate]],"")</f>
        <v>2.0320512820512819</v>
      </c>
    </row>
    <row r="198" spans="1:19">
      <c r="A198" s="3" t="s">
        <v>218</v>
      </c>
      <c r="B198" s="3" t="str">
        <f>RIGHT(Table1[[#This Row],[Patient_ID]],4)</f>
        <v>1196</v>
      </c>
      <c r="C198" s="1">
        <v>34</v>
      </c>
      <c r="D198" s="1" t="str">
        <f>VLOOKUP(Table1[[#This Row],[Age]],'Lookup &amp; Reference'!$G$2:$H$5,2,1)</f>
        <v>Low</v>
      </c>
      <c r="E198" s="1" t="s">
        <v>12</v>
      </c>
      <c r="F198" s="1" t="str">
        <f>_xlfn.CONCAT(LEFT(Table1[[#This Row],[Gender]],1),Table1[[#This Row],[Age]])</f>
        <v>F34</v>
      </c>
      <c r="G198" s="1" t="s">
        <v>22</v>
      </c>
      <c r="H198" s="1">
        <f>LEN(Table1[[#This Row],[Chest_Pain_Type]])</f>
        <v>15</v>
      </c>
      <c r="I198" s="1">
        <v>187</v>
      </c>
      <c r="J198" s="1" t="str" cm="1">
        <f t="array" ref="J19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98" s="1">
        <v>345</v>
      </c>
      <c r="L198" s="1" t="s">
        <v>14</v>
      </c>
      <c r="M198" s="1" t="str">
        <f>IF(Table1[[#This Row],[Fasting_Blood_Sugar]]="Yes","Diabetic Risk","Normal")</f>
        <v>Normal</v>
      </c>
      <c r="N198" s="1" t="s">
        <v>15</v>
      </c>
      <c r="O198" s="1">
        <v>148</v>
      </c>
      <c r="P198" s="1" t="s">
        <v>14</v>
      </c>
      <c r="Q198" s="4" t="s">
        <v>14</v>
      </c>
      <c r="R198" s="1" t="str" cm="1">
        <f t="array" ref="R19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8" s="1">
        <f>IFERROR(Table1[[#This Row],[Cholesterol]]/Table1[[#This Row],[Max_Heart_Rate]],"")</f>
        <v>2.3310810810810811</v>
      </c>
    </row>
    <row r="199" spans="1:19">
      <c r="A199" s="3" t="s">
        <v>219</v>
      </c>
      <c r="B199" s="3" t="str">
        <f>RIGHT(Table1[[#This Row],[Patient_ID]],4)</f>
        <v>1197</v>
      </c>
      <c r="C199" s="1">
        <v>36</v>
      </c>
      <c r="D199" s="1" t="str">
        <f>VLOOKUP(Table1[[#This Row],[Age]],'Lookup &amp; Reference'!$G$2:$H$5,2,1)</f>
        <v>Low</v>
      </c>
      <c r="E199" s="1" t="s">
        <v>12</v>
      </c>
      <c r="F199" s="1" t="str">
        <f>_xlfn.CONCAT(LEFT(Table1[[#This Row],[Gender]],1),Table1[[#This Row],[Age]])</f>
        <v>F36</v>
      </c>
      <c r="G199" s="1" t="s">
        <v>22</v>
      </c>
      <c r="H199" s="1">
        <f>LEN(Table1[[#This Row],[Chest_Pain_Type]])</f>
        <v>15</v>
      </c>
      <c r="I199" s="1">
        <v>165</v>
      </c>
      <c r="J199" s="1" t="str" cm="1">
        <f t="array" ref="J19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199" s="1">
        <v>201</v>
      </c>
      <c r="L199" s="1" t="s">
        <v>16</v>
      </c>
      <c r="M199" s="1" t="str">
        <f>IF(Table1[[#This Row],[Fasting_Blood_Sugar]]="Yes","Diabetic Risk","Normal")</f>
        <v>Diabetic Risk</v>
      </c>
      <c r="N199" s="1" t="s">
        <v>20</v>
      </c>
      <c r="O199" s="1">
        <v>158</v>
      </c>
      <c r="P199" s="1" t="s">
        <v>16</v>
      </c>
      <c r="Q199" s="4" t="s">
        <v>14</v>
      </c>
      <c r="R199" s="1" t="str" cm="1">
        <f t="array" ref="R19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199" s="1">
        <f>IFERROR(Table1[[#This Row],[Cholesterol]]/Table1[[#This Row],[Max_Heart_Rate]],"")</f>
        <v>1.2721518987341771</v>
      </c>
    </row>
    <row r="200" spans="1:19">
      <c r="A200" s="3" t="s">
        <v>220</v>
      </c>
      <c r="B200" s="3" t="str">
        <f>RIGHT(Table1[[#This Row],[Patient_ID]],4)</f>
        <v>1198</v>
      </c>
      <c r="C200" s="1">
        <v>55</v>
      </c>
      <c r="D200" s="1" t="str">
        <f>VLOOKUP(Table1[[#This Row],[Age]],'Lookup &amp; Reference'!$G$2:$H$5,2,1)</f>
        <v>Medium</v>
      </c>
      <c r="E200" s="1" t="s">
        <v>12</v>
      </c>
      <c r="F200" s="1" t="str">
        <f>_xlfn.CONCAT(LEFT(Table1[[#This Row],[Gender]],1),Table1[[#This Row],[Age]])</f>
        <v>F55</v>
      </c>
      <c r="G200" s="1" t="s">
        <v>19</v>
      </c>
      <c r="H200" s="1">
        <f>LEN(Table1[[#This Row],[Chest_Pain_Type]])</f>
        <v>14</v>
      </c>
      <c r="I200" s="1">
        <v>131</v>
      </c>
      <c r="J200" s="1" t="str" cm="1">
        <f t="array" ref="J20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00" s="1">
        <v>260</v>
      </c>
      <c r="L200" s="1" t="s">
        <v>16</v>
      </c>
      <c r="M200" s="1" t="str">
        <f>IF(Table1[[#This Row],[Fasting_Blood_Sugar]]="Yes","Diabetic Risk","Normal")</f>
        <v>Diabetic Risk</v>
      </c>
      <c r="N200" s="1" t="s">
        <v>20</v>
      </c>
      <c r="O200" s="1">
        <v>102</v>
      </c>
      <c r="P200" s="1" t="s">
        <v>16</v>
      </c>
      <c r="Q200" s="4" t="s">
        <v>14</v>
      </c>
      <c r="R200" s="1" t="str" cm="1">
        <f t="array" ref="R20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0" s="1">
        <f>IFERROR(Table1[[#This Row],[Cholesterol]]/Table1[[#This Row],[Max_Heart_Rate]],"")</f>
        <v>2.5490196078431371</v>
      </c>
    </row>
    <row r="201" spans="1:19">
      <c r="A201" s="3" t="s">
        <v>221</v>
      </c>
      <c r="B201" s="3" t="str">
        <f>RIGHT(Table1[[#This Row],[Patient_ID]],4)</f>
        <v>1199</v>
      </c>
      <c r="C201" s="1">
        <v>37</v>
      </c>
      <c r="D201" s="1" t="str">
        <f>VLOOKUP(Table1[[#This Row],[Age]],'Lookup &amp; Reference'!$G$2:$H$5,2,1)</f>
        <v>Low</v>
      </c>
      <c r="E201" s="1" t="s">
        <v>12</v>
      </c>
      <c r="F201" s="1" t="str">
        <f>_xlfn.CONCAT(LEFT(Table1[[#This Row],[Gender]],1),Table1[[#This Row],[Age]])</f>
        <v>F37</v>
      </c>
      <c r="G201" s="1" t="s">
        <v>19</v>
      </c>
      <c r="H201" s="1">
        <f>LEN(Table1[[#This Row],[Chest_Pain_Type]])</f>
        <v>14</v>
      </c>
      <c r="I201" s="1">
        <v>98</v>
      </c>
      <c r="J201" s="1" t="str" cm="1">
        <f t="array" ref="J20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01" s="1">
        <v>142</v>
      </c>
      <c r="L201" s="1" t="s">
        <v>16</v>
      </c>
      <c r="M201" s="1" t="str">
        <f>IF(Table1[[#This Row],[Fasting_Blood_Sugar]]="Yes","Diabetic Risk","Normal")</f>
        <v>Diabetic Risk</v>
      </c>
      <c r="N201" s="1" t="s">
        <v>20</v>
      </c>
      <c r="O201" s="1">
        <v>136</v>
      </c>
      <c r="P201" s="1" t="s">
        <v>16</v>
      </c>
      <c r="Q201" s="4" t="s">
        <v>16</v>
      </c>
      <c r="R201" s="1" t="str" cm="1">
        <f t="array" ref="R20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1" s="1">
        <f>IFERROR(Table1[[#This Row],[Cholesterol]]/Table1[[#This Row],[Max_Heart_Rate]],"")</f>
        <v>1.0441176470588236</v>
      </c>
    </row>
    <row r="202" spans="1:19">
      <c r="A202" s="3" t="s">
        <v>222</v>
      </c>
      <c r="B202" s="3" t="str">
        <f>RIGHT(Table1[[#This Row],[Patient_ID]],4)</f>
        <v>1200</v>
      </c>
      <c r="C202" s="1">
        <v>65</v>
      </c>
      <c r="D202" s="1" t="str">
        <f>VLOOKUP(Table1[[#This Row],[Age]],'Lookup &amp; Reference'!$G$2:$H$5,2,1)</f>
        <v>High</v>
      </c>
      <c r="E202" s="1" t="s">
        <v>12</v>
      </c>
      <c r="F202" s="1" t="str">
        <f>_xlfn.CONCAT(LEFT(Table1[[#This Row],[Gender]],1),Table1[[#This Row],[Age]])</f>
        <v>F65</v>
      </c>
      <c r="G202" s="1" t="s">
        <v>13</v>
      </c>
      <c r="H202" s="1">
        <f>LEN(Table1[[#This Row],[Chest_Pain_Type]])</f>
        <v>11</v>
      </c>
      <c r="I202" s="1">
        <v>168</v>
      </c>
      <c r="J202" s="1" t="str" cm="1">
        <f t="array" ref="J20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02" s="1">
        <v>202</v>
      </c>
      <c r="L202" s="1" t="s">
        <v>16</v>
      </c>
      <c r="M202" s="1" t="str">
        <f>IF(Table1[[#This Row],[Fasting_Blood_Sugar]]="Yes","Diabetic Risk","Normal")</f>
        <v>Diabetic Risk</v>
      </c>
      <c r="N202" s="1" t="s">
        <v>20</v>
      </c>
      <c r="O202" s="1">
        <v>199</v>
      </c>
      <c r="P202" s="1" t="s">
        <v>14</v>
      </c>
      <c r="Q202" s="4" t="s">
        <v>16</v>
      </c>
      <c r="R202" s="1" t="str" cm="1">
        <f t="array" ref="R20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02" s="1">
        <f>IFERROR(Table1[[#This Row],[Cholesterol]]/Table1[[#This Row],[Max_Heart_Rate]],"")</f>
        <v>1.0150753768844221</v>
      </c>
    </row>
    <row r="203" spans="1:19">
      <c r="A203" s="3" t="s">
        <v>223</v>
      </c>
      <c r="B203" s="3" t="str">
        <f>RIGHT(Table1[[#This Row],[Patient_ID]],4)</f>
        <v>1201</v>
      </c>
      <c r="C203" s="1">
        <v>61</v>
      </c>
      <c r="D203" s="1" t="str">
        <f>VLOOKUP(Table1[[#This Row],[Age]],'Lookup &amp; Reference'!$G$2:$H$5,2,1)</f>
        <v>High</v>
      </c>
      <c r="E203" s="1" t="s">
        <v>12</v>
      </c>
      <c r="F203" s="1" t="str">
        <f>_xlfn.CONCAT(LEFT(Table1[[#This Row],[Gender]],1),Table1[[#This Row],[Age]])</f>
        <v>F61</v>
      </c>
      <c r="G203" s="1" t="s">
        <v>25</v>
      </c>
      <c r="H203" s="1">
        <f>LEN(Table1[[#This Row],[Chest_Pain_Type]])</f>
        <v>12</v>
      </c>
      <c r="I203" s="1">
        <v>129</v>
      </c>
      <c r="J203" s="1" t="str" cm="1">
        <f t="array" ref="J20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03" s="1">
        <v>228</v>
      </c>
      <c r="L203" s="1" t="s">
        <v>16</v>
      </c>
      <c r="M203" s="1" t="str">
        <f>IF(Table1[[#This Row],[Fasting_Blood_Sugar]]="Yes","Diabetic Risk","Normal")</f>
        <v>Diabetic Risk</v>
      </c>
      <c r="N203" s="1" t="s">
        <v>15</v>
      </c>
      <c r="O203" s="1">
        <v>150</v>
      </c>
      <c r="P203" s="1" t="s">
        <v>14</v>
      </c>
      <c r="Q203" s="4" t="s">
        <v>14</v>
      </c>
      <c r="R203" s="1" t="str" cm="1">
        <f t="array" ref="R20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3" s="1">
        <f>IFERROR(Table1[[#This Row],[Cholesterol]]/Table1[[#This Row],[Max_Heart_Rate]],"")</f>
        <v>1.52</v>
      </c>
    </row>
    <row r="204" spans="1:19">
      <c r="A204" s="3" t="s">
        <v>224</v>
      </c>
      <c r="B204" s="3" t="str">
        <f>RIGHT(Table1[[#This Row],[Patient_ID]],4)</f>
        <v>1202</v>
      </c>
      <c r="C204" s="1">
        <v>79</v>
      </c>
      <c r="D204" s="1" t="str">
        <f>VLOOKUP(Table1[[#This Row],[Age]],'Lookup &amp; Reference'!$G$2:$H$5,2,1)</f>
        <v>High</v>
      </c>
      <c r="E204" s="1" t="s">
        <v>12</v>
      </c>
      <c r="F204" s="1" t="str">
        <f>_xlfn.CONCAT(LEFT(Table1[[#This Row],[Gender]],1),Table1[[#This Row],[Age]])</f>
        <v>F79</v>
      </c>
      <c r="G204" s="1" t="s">
        <v>25</v>
      </c>
      <c r="H204" s="1">
        <f>LEN(Table1[[#This Row],[Chest_Pain_Type]])</f>
        <v>12</v>
      </c>
      <c r="I204" s="1">
        <v>114</v>
      </c>
      <c r="J204" s="1" t="str" cm="1">
        <f t="array" ref="J20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04" s="1">
        <v>194</v>
      </c>
      <c r="L204" s="1" t="s">
        <v>16</v>
      </c>
      <c r="M204" s="1" t="str">
        <f>IF(Table1[[#This Row],[Fasting_Blood_Sugar]]="Yes","Diabetic Risk","Normal")</f>
        <v>Diabetic Risk</v>
      </c>
      <c r="N204" s="1" t="s">
        <v>27</v>
      </c>
      <c r="O204" s="1">
        <v>120</v>
      </c>
      <c r="P204" s="1" t="s">
        <v>14</v>
      </c>
      <c r="Q204" s="4" t="s">
        <v>16</v>
      </c>
      <c r="R204" s="1" t="str" cm="1">
        <f t="array" ref="R20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04" s="1">
        <f>IFERROR(Table1[[#This Row],[Cholesterol]]/Table1[[#This Row],[Max_Heart_Rate]],"")</f>
        <v>1.6166666666666667</v>
      </c>
    </row>
    <row r="205" spans="1:19">
      <c r="A205" s="3" t="s">
        <v>225</v>
      </c>
      <c r="B205" s="3" t="str">
        <f>RIGHT(Table1[[#This Row],[Patient_ID]],4)</f>
        <v>1203</v>
      </c>
      <c r="C205" s="1">
        <v>70</v>
      </c>
      <c r="D205" s="1" t="str">
        <f>VLOOKUP(Table1[[#This Row],[Age]],'Lookup &amp; Reference'!$G$2:$H$5,2,1)</f>
        <v>High</v>
      </c>
      <c r="E205" s="1" t="s">
        <v>12</v>
      </c>
      <c r="F205" s="1" t="str">
        <f>_xlfn.CONCAT(LEFT(Table1[[#This Row],[Gender]],1),Table1[[#This Row],[Age]])</f>
        <v>F70</v>
      </c>
      <c r="G205" s="1" t="s">
        <v>13</v>
      </c>
      <c r="H205" s="1">
        <f>LEN(Table1[[#This Row],[Chest_Pain_Type]])</f>
        <v>11</v>
      </c>
      <c r="I205" s="1">
        <v>94</v>
      </c>
      <c r="J205" s="1" t="str" cm="1">
        <f t="array" ref="J20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05" s="1">
        <v>248</v>
      </c>
      <c r="L205" s="1" t="s">
        <v>14</v>
      </c>
      <c r="M205" s="1" t="str">
        <f>IF(Table1[[#This Row],[Fasting_Blood_Sugar]]="Yes","Diabetic Risk","Normal")</f>
        <v>Normal</v>
      </c>
      <c r="N205" s="1" t="s">
        <v>15</v>
      </c>
      <c r="O205" s="1">
        <v>208</v>
      </c>
      <c r="P205" s="1" t="s">
        <v>14</v>
      </c>
      <c r="Q205" s="4" t="s">
        <v>14</v>
      </c>
      <c r="R205" s="1" t="str" cm="1">
        <f t="array" ref="R20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5" s="1">
        <f>IFERROR(Table1[[#This Row],[Cholesterol]]/Table1[[#This Row],[Max_Heart_Rate]],"")</f>
        <v>1.1923076923076923</v>
      </c>
    </row>
    <row r="206" spans="1:19">
      <c r="A206" s="3" t="s">
        <v>226</v>
      </c>
      <c r="B206" s="3" t="str">
        <f>RIGHT(Table1[[#This Row],[Patient_ID]],4)</f>
        <v>1204</v>
      </c>
      <c r="C206" s="1">
        <v>72</v>
      </c>
      <c r="D206" s="1" t="str">
        <f>VLOOKUP(Table1[[#This Row],[Age]],'Lookup &amp; Reference'!$G$2:$H$5,2,1)</f>
        <v>High</v>
      </c>
      <c r="E206" s="1" t="s">
        <v>12</v>
      </c>
      <c r="F206" s="1" t="str">
        <f>_xlfn.CONCAT(LEFT(Table1[[#This Row],[Gender]],1),Table1[[#This Row],[Age]])</f>
        <v>F72</v>
      </c>
      <c r="G206" s="1" t="s">
        <v>25</v>
      </c>
      <c r="H206" s="1">
        <f>LEN(Table1[[#This Row],[Chest_Pain_Type]])</f>
        <v>12</v>
      </c>
      <c r="I206" s="1">
        <v>100</v>
      </c>
      <c r="J206" s="1" t="str" cm="1">
        <f t="array" ref="J20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06" s="1">
        <v>207</v>
      </c>
      <c r="L206" s="1" t="s">
        <v>16</v>
      </c>
      <c r="M206" s="1" t="str">
        <f>IF(Table1[[#This Row],[Fasting_Blood_Sugar]]="Yes","Diabetic Risk","Normal")</f>
        <v>Diabetic Risk</v>
      </c>
      <c r="N206" s="1" t="s">
        <v>15</v>
      </c>
      <c r="O206" s="1">
        <v>169</v>
      </c>
      <c r="P206" s="1" t="s">
        <v>14</v>
      </c>
      <c r="Q206" s="4" t="s">
        <v>14</v>
      </c>
      <c r="R206" s="1" t="str" cm="1">
        <f t="array" ref="R20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6" s="1">
        <f>IFERROR(Table1[[#This Row],[Cholesterol]]/Table1[[#This Row],[Max_Heart_Rate]],"")</f>
        <v>1.2248520710059172</v>
      </c>
    </row>
    <row r="207" spans="1:19">
      <c r="A207" s="3" t="s">
        <v>227</v>
      </c>
      <c r="B207" s="3" t="str">
        <f>RIGHT(Table1[[#This Row],[Patient_ID]],4)</f>
        <v>1205</v>
      </c>
      <c r="C207" s="1">
        <v>52</v>
      </c>
      <c r="D207" s="1" t="str">
        <f>VLOOKUP(Table1[[#This Row],[Age]],'Lookup &amp; Reference'!$G$2:$H$5,2,1)</f>
        <v>Medium</v>
      </c>
      <c r="E207" s="1" t="s">
        <v>12</v>
      </c>
      <c r="F207" s="1" t="str">
        <f>_xlfn.CONCAT(LEFT(Table1[[#This Row],[Gender]],1),Table1[[#This Row],[Age]])</f>
        <v>F52</v>
      </c>
      <c r="G207" s="1" t="s">
        <v>25</v>
      </c>
      <c r="H207" s="1">
        <f>LEN(Table1[[#This Row],[Chest_Pain_Type]])</f>
        <v>12</v>
      </c>
      <c r="I207" s="1">
        <v>148</v>
      </c>
      <c r="J207" s="1" t="str" cm="1">
        <f t="array" ref="J20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07" s="1">
        <v>173</v>
      </c>
      <c r="L207" s="1" t="s">
        <v>14</v>
      </c>
      <c r="M207" s="1" t="str">
        <f>IF(Table1[[#This Row],[Fasting_Blood_Sugar]]="Yes","Diabetic Risk","Normal")</f>
        <v>Normal</v>
      </c>
      <c r="N207" s="1" t="s">
        <v>15</v>
      </c>
      <c r="O207" s="1">
        <v>203</v>
      </c>
      <c r="P207" s="1" t="s">
        <v>16</v>
      </c>
      <c r="Q207" s="4" t="s">
        <v>16</v>
      </c>
      <c r="R207" s="1" t="str" cm="1">
        <f t="array" ref="R20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07" s="1">
        <f>IFERROR(Table1[[#This Row],[Cholesterol]]/Table1[[#This Row],[Max_Heart_Rate]],"")</f>
        <v>0.85221674876847286</v>
      </c>
    </row>
    <row r="208" spans="1:19">
      <c r="A208" s="3" t="s">
        <v>228</v>
      </c>
      <c r="B208" s="3" t="str">
        <f>RIGHT(Table1[[#This Row],[Patient_ID]],4)</f>
        <v>1206</v>
      </c>
      <c r="C208" s="1">
        <v>43</v>
      </c>
      <c r="D208" s="1" t="str">
        <f>VLOOKUP(Table1[[#This Row],[Age]],'Lookup &amp; Reference'!$G$2:$H$5,2,1)</f>
        <v>Low</v>
      </c>
      <c r="E208" s="1" t="s">
        <v>12</v>
      </c>
      <c r="F208" s="1" t="str">
        <f>_xlfn.CONCAT(LEFT(Table1[[#This Row],[Gender]],1),Table1[[#This Row],[Age]])</f>
        <v>F43</v>
      </c>
      <c r="G208" s="1" t="s">
        <v>25</v>
      </c>
      <c r="H208" s="1">
        <f>LEN(Table1[[#This Row],[Chest_Pain_Type]])</f>
        <v>12</v>
      </c>
      <c r="I208" s="1">
        <v>187</v>
      </c>
      <c r="J208" s="1" t="str" cm="1">
        <f t="array" ref="J20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08" s="1">
        <v>318</v>
      </c>
      <c r="L208" s="1" t="s">
        <v>16</v>
      </c>
      <c r="M208" s="1" t="str">
        <f>IF(Table1[[#This Row],[Fasting_Blood_Sugar]]="Yes","Diabetic Risk","Normal")</f>
        <v>Diabetic Risk</v>
      </c>
      <c r="N208" s="1" t="s">
        <v>20</v>
      </c>
      <c r="O208" s="1">
        <v>185</v>
      </c>
      <c r="P208" s="1" t="s">
        <v>14</v>
      </c>
      <c r="Q208" s="4" t="s">
        <v>16</v>
      </c>
      <c r="R208" s="1" t="str" cm="1">
        <f t="array" ref="R20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8" s="1">
        <f>IFERROR(Table1[[#This Row],[Cholesterol]]/Table1[[#This Row],[Max_Heart_Rate]],"")</f>
        <v>1.7189189189189189</v>
      </c>
    </row>
    <row r="209" spans="1:19">
      <c r="A209" s="3" t="s">
        <v>229</v>
      </c>
      <c r="B209" s="3" t="str">
        <f>RIGHT(Table1[[#This Row],[Patient_ID]],4)</f>
        <v>1207</v>
      </c>
      <c r="C209" s="1">
        <v>60</v>
      </c>
      <c r="D209" s="1" t="str">
        <f>VLOOKUP(Table1[[#This Row],[Age]],'Lookup &amp; Reference'!$G$2:$H$5,2,1)</f>
        <v>High</v>
      </c>
      <c r="E209" s="1" t="s">
        <v>18</v>
      </c>
      <c r="F209" s="1" t="str">
        <f>_xlfn.CONCAT(LEFT(Table1[[#This Row],[Gender]],1),Table1[[#This Row],[Age]])</f>
        <v>M60</v>
      </c>
      <c r="G209" s="1" t="s">
        <v>25</v>
      </c>
      <c r="H209" s="1">
        <f>LEN(Table1[[#This Row],[Chest_Pain_Type]])</f>
        <v>12</v>
      </c>
      <c r="I209" s="1">
        <v>177</v>
      </c>
      <c r="J209" s="1" t="str" cm="1">
        <f t="array" ref="J20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09" s="1">
        <v>208</v>
      </c>
      <c r="L209" s="1" t="s">
        <v>16</v>
      </c>
      <c r="M209" s="1" t="str">
        <f>IF(Table1[[#This Row],[Fasting_Blood_Sugar]]="Yes","Diabetic Risk","Normal")</f>
        <v>Diabetic Risk</v>
      </c>
      <c r="N209" s="1" t="s">
        <v>20</v>
      </c>
      <c r="O209" s="1">
        <v>111</v>
      </c>
      <c r="P209" s="1" t="s">
        <v>14</v>
      </c>
      <c r="Q209" s="4" t="s">
        <v>14</v>
      </c>
      <c r="R209" s="1" t="str" cm="1">
        <f t="array" ref="R20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09" s="1">
        <f>IFERROR(Table1[[#This Row],[Cholesterol]]/Table1[[#This Row],[Max_Heart_Rate]],"")</f>
        <v>1.8738738738738738</v>
      </c>
    </row>
    <row r="210" spans="1:19">
      <c r="A210" s="3" t="s">
        <v>230</v>
      </c>
      <c r="B210" s="3" t="str">
        <f>RIGHT(Table1[[#This Row],[Patient_ID]],4)</f>
        <v>1208</v>
      </c>
      <c r="C210" s="1">
        <v>60</v>
      </c>
      <c r="D210" s="1" t="str">
        <f>VLOOKUP(Table1[[#This Row],[Age]],'Lookup &amp; Reference'!$G$2:$H$5,2,1)</f>
        <v>High</v>
      </c>
      <c r="E210" s="1" t="s">
        <v>18</v>
      </c>
      <c r="F210" s="1" t="str">
        <f>_xlfn.CONCAT(LEFT(Table1[[#This Row],[Gender]],1),Table1[[#This Row],[Age]])</f>
        <v>M60</v>
      </c>
      <c r="G210" s="1" t="s">
        <v>25</v>
      </c>
      <c r="H210" s="1">
        <f>LEN(Table1[[#This Row],[Chest_Pain_Type]])</f>
        <v>12</v>
      </c>
      <c r="I210" s="1">
        <v>168</v>
      </c>
      <c r="J210" s="1" t="str" cm="1">
        <f t="array" ref="J21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10" s="1">
        <v>332</v>
      </c>
      <c r="L210" s="1" t="s">
        <v>14</v>
      </c>
      <c r="M210" s="1" t="str">
        <f>IF(Table1[[#This Row],[Fasting_Blood_Sugar]]="Yes","Diabetic Risk","Normal")</f>
        <v>Normal</v>
      </c>
      <c r="N210" s="1" t="s">
        <v>20</v>
      </c>
      <c r="O210" s="1">
        <v>182</v>
      </c>
      <c r="P210" s="1" t="s">
        <v>16</v>
      </c>
      <c r="Q210" s="4" t="s">
        <v>14</v>
      </c>
      <c r="R210" s="1" t="str" cm="1">
        <f t="array" ref="R21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0" s="1">
        <f>IFERROR(Table1[[#This Row],[Cholesterol]]/Table1[[#This Row],[Max_Heart_Rate]],"")</f>
        <v>1.8241758241758241</v>
      </c>
    </row>
    <row r="211" spans="1:19">
      <c r="A211" s="3" t="s">
        <v>231</v>
      </c>
      <c r="B211" s="3" t="str">
        <f>RIGHT(Table1[[#This Row],[Patient_ID]],4)</f>
        <v>1209</v>
      </c>
      <c r="C211" s="1">
        <v>52</v>
      </c>
      <c r="D211" s="1" t="str">
        <f>VLOOKUP(Table1[[#This Row],[Age]],'Lookup &amp; Reference'!$G$2:$H$5,2,1)</f>
        <v>Medium</v>
      </c>
      <c r="E211" s="1" t="s">
        <v>12</v>
      </c>
      <c r="F211" s="1" t="str">
        <f>_xlfn.CONCAT(LEFT(Table1[[#This Row],[Gender]],1),Table1[[#This Row],[Age]])</f>
        <v>F52</v>
      </c>
      <c r="G211" s="1" t="s">
        <v>19</v>
      </c>
      <c r="H211" s="1">
        <f>LEN(Table1[[#This Row],[Chest_Pain_Type]])</f>
        <v>14</v>
      </c>
      <c r="I211" s="1">
        <v>127</v>
      </c>
      <c r="J211" s="1" t="str" cm="1">
        <f t="array" ref="J21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11" s="1">
        <v>262</v>
      </c>
      <c r="L211" s="1" t="s">
        <v>16</v>
      </c>
      <c r="M211" s="1" t="str">
        <f>IF(Table1[[#This Row],[Fasting_Blood_Sugar]]="Yes","Diabetic Risk","Normal")</f>
        <v>Diabetic Risk</v>
      </c>
      <c r="N211" s="1" t="s">
        <v>27</v>
      </c>
      <c r="O211" s="1">
        <v>175</v>
      </c>
      <c r="P211" s="1" t="s">
        <v>14</v>
      </c>
      <c r="Q211" s="4" t="s">
        <v>14</v>
      </c>
      <c r="R211" s="1" t="str" cm="1">
        <f t="array" ref="R21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1" s="1">
        <f>IFERROR(Table1[[#This Row],[Cholesterol]]/Table1[[#This Row],[Max_Heart_Rate]],"")</f>
        <v>1.4971428571428571</v>
      </c>
    </row>
    <row r="212" spans="1:19">
      <c r="A212" s="3" t="s">
        <v>232</v>
      </c>
      <c r="B212" s="3" t="str">
        <f>RIGHT(Table1[[#This Row],[Patient_ID]],4)</f>
        <v>1210</v>
      </c>
      <c r="C212" s="1">
        <v>69</v>
      </c>
      <c r="D212" s="1" t="str">
        <f>VLOOKUP(Table1[[#This Row],[Age]],'Lookup &amp; Reference'!$G$2:$H$5,2,1)</f>
        <v>High</v>
      </c>
      <c r="E212" s="1" t="s">
        <v>12</v>
      </c>
      <c r="F212" s="1" t="str">
        <f>_xlfn.CONCAT(LEFT(Table1[[#This Row],[Gender]],1),Table1[[#This Row],[Age]])</f>
        <v>F69</v>
      </c>
      <c r="G212" s="1" t="s">
        <v>25</v>
      </c>
      <c r="H212" s="1">
        <f>LEN(Table1[[#This Row],[Chest_Pain_Type]])</f>
        <v>12</v>
      </c>
      <c r="I212" s="1">
        <v>161</v>
      </c>
      <c r="J212" s="1" t="str" cm="1">
        <f t="array" ref="J21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12" s="1">
        <v>184</v>
      </c>
      <c r="L212" s="1" t="s">
        <v>14</v>
      </c>
      <c r="M212" s="1" t="str">
        <f>IF(Table1[[#This Row],[Fasting_Blood_Sugar]]="Yes","Diabetic Risk","Normal")</f>
        <v>Normal</v>
      </c>
      <c r="N212" s="1" t="s">
        <v>15</v>
      </c>
      <c r="O212" s="1">
        <v>132</v>
      </c>
      <c r="P212" s="1" t="s">
        <v>16</v>
      </c>
      <c r="Q212" s="4" t="s">
        <v>14</v>
      </c>
      <c r="R212" s="1" t="str" cm="1">
        <f t="array" ref="R21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2" s="1">
        <f>IFERROR(Table1[[#This Row],[Cholesterol]]/Table1[[#This Row],[Max_Heart_Rate]],"")</f>
        <v>1.393939393939394</v>
      </c>
    </row>
    <row r="213" spans="1:19">
      <c r="A213" s="3" t="s">
        <v>233</v>
      </c>
      <c r="B213" s="3" t="str">
        <f>RIGHT(Table1[[#This Row],[Patient_ID]],4)</f>
        <v>1211</v>
      </c>
      <c r="C213" s="1">
        <v>77</v>
      </c>
      <c r="D213" s="1" t="str">
        <f>VLOOKUP(Table1[[#This Row],[Age]],'Lookup &amp; Reference'!$G$2:$H$5,2,1)</f>
        <v>High</v>
      </c>
      <c r="E213" s="1" t="s">
        <v>18</v>
      </c>
      <c r="F213" s="1" t="str">
        <f>_xlfn.CONCAT(LEFT(Table1[[#This Row],[Gender]],1),Table1[[#This Row],[Age]])</f>
        <v>M77</v>
      </c>
      <c r="G213" s="1" t="s">
        <v>19</v>
      </c>
      <c r="H213" s="1">
        <f>LEN(Table1[[#This Row],[Chest_Pain_Type]])</f>
        <v>14</v>
      </c>
      <c r="I213" s="1">
        <v>94</v>
      </c>
      <c r="J213" s="1" t="str" cm="1">
        <f t="array" ref="J21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13" s="1">
        <v>195</v>
      </c>
      <c r="L213" s="1" t="s">
        <v>14</v>
      </c>
      <c r="M213" s="1" t="str">
        <f>IF(Table1[[#This Row],[Fasting_Blood_Sugar]]="Yes","Diabetic Risk","Normal")</f>
        <v>Normal</v>
      </c>
      <c r="N213" s="1" t="s">
        <v>27</v>
      </c>
      <c r="O213" s="1">
        <v>156</v>
      </c>
      <c r="P213" s="1" t="s">
        <v>16</v>
      </c>
      <c r="Q213" s="4" t="s">
        <v>16</v>
      </c>
      <c r="R213" s="1" t="str" cm="1">
        <f t="array" ref="R21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13" s="1">
        <f>IFERROR(Table1[[#This Row],[Cholesterol]]/Table1[[#This Row],[Max_Heart_Rate]],"")</f>
        <v>1.25</v>
      </c>
    </row>
    <row r="214" spans="1:19">
      <c r="A214" s="3" t="s">
        <v>234</v>
      </c>
      <c r="B214" s="3" t="str">
        <f>RIGHT(Table1[[#This Row],[Patient_ID]],4)</f>
        <v>1212</v>
      </c>
      <c r="C214" s="1">
        <v>77</v>
      </c>
      <c r="D214" s="1" t="str">
        <f>VLOOKUP(Table1[[#This Row],[Age]],'Lookup &amp; Reference'!$G$2:$H$5,2,1)</f>
        <v>High</v>
      </c>
      <c r="E214" s="1" t="s">
        <v>12</v>
      </c>
      <c r="F214" s="1" t="str">
        <f>_xlfn.CONCAT(LEFT(Table1[[#This Row],[Gender]],1),Table1[[#This Row],[Age]])</f>
        <v>F77</v>
      </c>
      <c r="G214" s="1" t="s">
        <v>25</v>
      </c>
      <c r="H214" s="1">
        <f>LEN(Table1[[#This Row],[Chest_Pain_Type]])</f>
        <v>12</v>
      </c>
      <c r="I214" s="1">
        <v>137</v>
      </c>
      <c r="J214" s="1" t="str" cm="1">
        <f t="array" ref="J21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14" s="1">
        <v>318</v>
      </c>
      <c r="L214" s="1" t="s">
        <v>16</v>
      </c>
      <c r="M214" s="1" t="str">
        <f>IF(Table1[[#This Row],[Fasting_Blood_Sugar]]="Yes","Diabetic Risk","Normal")</f>
        <v>Diabetic Risk</v>
      </c>
      <c r="N214" s="1" t="s">
        <v>20</v>
      </c>
      <c r="O214" s="1">
        <v>143</v>
      </c>
      <c r="P214" s="1" t="s">
        <v>16</v>
      </c>
      <c r="Q214" s="4" t="s">
        <v>14</v>
      </c>
      <c r="R214" s="1" t="str" cm="1">
        <f t="array" ref="R21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4" s="1">
        <f>IFERROR(Table1[[#This Row],[Cholesterol]]/Table1[[#This Row],[Max_Heart_Rate]],"")</f>
        <v>2.2237762237762237</v>
      </c>
    </row>
    <row r="215" spans="1:19">
      <c r="A215" s="3" t="s">
        <v>235</v>
      </c>
      <c r="B215" s="3" t="str">
        <f>RIGHT(Table1[[#This Row],[Patient_ID]],4)</f>
        <v>1213</v>
      </c>
      <c r="C215" s="1">
        <v>40</v>
      </c>
      <c r="D215" s="1" t="str">
        <f>VLOOKUP(Table1[[#This Row],[Age]],'Lookup &amp; Reference'!$G$2:$H$5,2,1)</f>
        <v>Low</v>
      </c>
      <c r="E215" s="1" t="s">
        <v>18</v>
      </c>
      <c r="F215" s="1" t="str">
        <f>_xlfn.CONCAT(LEFT(Table1[[#This Row],[Gender]],1),Table1[[#This Row],[Age]])</f>
        <v>M40</v>
      </c>
      <c r="G215" s="1" t="s">
        <v>13</v>
      </c>
      <c r="H215" s="1">
        <f>LEN(Table1[[#This Row],[Chest_Pain_Type]])</f>
        <v>11</v>
      </c>
      <c r="I215" s="1">
        <v>179</v>
      </c>
      <c r="J215" s="1" t="str" cm="1">
        <f t="array" ref="J21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15" s="1">
        <v>262</v>
      </c>
      <c r="L215" s="1" t="s">
        <v>14</v>
      </c>
      <c r="M215" s="1" t="str">
        <f>IF(Table1[[#This Row],[Fasting_Blood_Sugar]]="Yes","Diabetic Risk","Normal")</f>
        <v>Normal</v>
      </c>
      <c r="N215" s="1" t="s">
        <v>27</v>
      </c>
      <c r="O215" s="1">
        <v>99</v>
      </c>
      <c r="P215" s="1" t="s">
        <v>16</v>
      </c>
      <c r="Q215" s="4" t="s">
        <v>14</v>
      </c>
      <c r="R215" s="1" t="str" cm="1">
        <f t="array" ref="R21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5" s="1">
        <f>IFERROR(Table1[[#This Row],[Cholesterol]]/Table1[[#This Row],[Max_Heart_Rate]],"")</f>
        <v>2.6464646464646466</v>
      </c>
    </row>
    <row r="216" spans="1:19">
      <c r="A216" s="3" t="s">
        <v>236</v>
      </c>
      <c r="B216" s="3" t="str">
        <f>RIGHT(Table1[[#This Row],[Patient_ID]],4)</f>
        <v>1214</v>
      </c>
      <c r="C216" s="1">
        <v>67</v>
      </c>
      <c r="D216" s="1" t="str">
        <f>VLOOKUP(Table1[[#This Row],[Age]],'Lookup &amp; Reference'!$G$2:$H$5,2,1)</f>
        <v>High</v>
      </c>
      <c r="E216" s="1" t="s">
        <v>18</v>
      </c>
      <c r="F216" s="1" t="str">
        <f>_xlfn.CONCAT(LEFT(Table1[[#This Row],[Gender]],1),Table1[[#This Row],[Age]])</f>
        <v>M67</v>
      </c>
      <c r="G216" s="1" t="s">
        <v>22</v>
      </c>
      <c r="H216" s="1">
        <f>LEN(Table1[[#This Row],[Chest_Pain_Type]])</f>
        <v>15</v>
      </c>
      <c r="I216" s="1">
        <v>107</v>
      </c>
      <c r="J216" s="1" t="str" cm="1">
        <f t="array" ref="J21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16" s="1">
        <v>268</v>
      </c>
      <c r="L216" s="1" t="s">
        <v>14</v>
      </c>
      <c r="M216" s="1" t="str">
        <f>IF(Table1[[#This Row],[Fasting_Blood_Sugar]]="Yes","Diabetic Risk","Normal")</f>
        <v>Normal</v>
      </c>
      <c r="N216" s="1" t="s">
        <v>15</v>
      </c>
      <c r="O216" s="1">
        <v>131</v>
      </c>
      <c r="P216" s="1" t="s">
        <v>16</v>
      </c>
      <c r="Q216" s="4" t="s">
        <v>14</v>
      </c>
      <c r="R216" s="1" t="str" cm="1">
        <f t="array" ref="R21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6" s="1">
        <f>IFERROR(Table1[[#This Row],[Cholesterol]]/Table1[[#This Row],[Max_Heart_Rate]],"")</f>
        <v>2.0458015267175571</v>
      </c>
    </row>
    <row r="217" spans="1:19">
      <c r="A217" s="3" t="s">
        <v>237</v>
      </c>
      <c r="B217" s="3" t="str">
        <f>RIGHT(Table1[[#This Row],[Patient_ID]],4)</f>
        <v>1215</v>
      </c>
      <c r="C217" s="1">
        <v>30</v>
      </c>
      <c r="D217" s="1" t="str">
        <f>VLOOKUP(Table1[[#This Row],[Age]],'Lookup &amp; Reference'!$G$2:$H$5,2,1)</f>
        <v>Low</v>
      </c>
      <c r="E217" s="1" t="s">
        <v>18</v>
      </c>
      <c r="F217" s="1" t="str">
        <f>_xlfn.CONCAT(LEFT(Table1[[#This Row],[Gender]],1),Table1[[#This Row],[Age]])</f>
        <v>M30</v>
      </c>
      <c r="G217" s="1" t="s">
        <v>19</v>
      </c>
      <c r="H217" s="1">
        <f>LEN(Table1[[#This Row],[Chest_Pain_Type]])</f>
        <v>14</v>
      </c>
      <c r="I217" s="1">
        <v>159</v>
      </c>
      <c r="J217" s="1" t="str" cm="1">
        <f t="array" ref="J21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17" s="1">
        <v>266</v>
      </c>
      <c r="L217" s="1" t="s">
        <v>16</v>
      </c>
      <c r="M217" s="1" t="str">
        <f>IF(Table1[[#This Row],[Fasting_Blood_Sugar]]="Yes","Diabetic Risk","Normal")</f>
        <v>Diabetic Risk</v>
      </c>
      <c r="N217" s="1" t="s">
        <v>15</v>
      </c>
      <c r="O217" s="1">
        <v>153</v>
      </c>
      <c r="P217" s="1" t="s">
        <v>14</v>
      </c>
      <c r="Q217" s="4" t="s">
        <v>16</v>
      </c>
      <c r="R217" s="1" t="str" cm="1">
        <f t="array" ref="R21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7" s="1">
        <f>IFERROR(Table1[[#This Row],[Cholesterol]]/Table1[[#This Row],[Max_Heart_Rate]],"")</f>
        <v>1.738562091503268</v>
      </c>
    </row>
    <row r="218" spans="1:19">
      <c r="A218" s="3" t="s">
        <v>238</v>
      </c>
      <c r="B218" s="3" t="str">
        <f>RIGHT(Table1[[#This Row],[Patient_ID]],4)</f>
        <v>1216</v>
      </c>
      <c r="C218" s="1">
        <v>31</v>
      </c>
      <c r="D218" s="1" t="str">
        <f>VLOOKUP(Table1[[#This Row],[Age]],'Lookup &amp; Reference'!$G$2:$H$5,2,1)</f>
        <v>Low</v>
      </c>
      <c r="E218" s="1" t="s">
        <v>18</v>
      </c>
      <c r="F218" s="1" t="str">
        <f>_xlfn.CONCAT(LEFT(Table1[[#This Row],[Gender]],1),Table1[[#This Row],[Age]])</f>
        <v>M31</v>
      </c>
      <c r="G218" s="1" t="s">
        <v>25</v>
      </c>
      <c r="H218" s="1">
        <f>LEN(Table1[[#This Row],[Chest_Pain_Type]])</f>
        <v>12</v>
      </c>
      <c r="I218" s="1">
        <v>126</v>
      </c>
      <c r="J218" s="1" t="str" cm="1">
        <f t="array" ref="J21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18" s="1">
        <v>179</v>
      </c>
      <c r="L218" s="1" t="s">
        <v>14</v>
      </c>
      <c r="M218" s="1" t="str">
        <f>IF(Table1[[#This Row],[Fasting_Blood_Sugar]]="Yes","Diabetic Risk","Normal")</f>
        <v>Normal</v>
      </c>
      <c r="N218" s="1" t="s">
        <v>20</v>
      </c>
      <c r="O218" s="1">
        <v>110</v>
      </c>
      <c r="P218" s="1" t="s">
        <v>16</v>
      </c>
      <c r="Q218" s="4" t="s">
        <v>16</v>
      </c>
      <c r="R218" s="1" t="str" cm="1">
        <f t="array" ref="R21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8" s="1">
        <f>IFERROR(Table1[[#This Row],[Cholesterol]]/Table1[[#This Row],[Max_Heart_Rate]],"")</f>
        <v>1.6272727272727272</v>
      </c>
    </row>
    <row r="219" spans="1:19">
      <c r="A219" s="3" t="s">
        <v>239</v>
      </c>
      <c r="B219" s="3" t="str">
        <f>RIGHT(Table1[[#This Row],[Patient_ID]],4)</f>
        <v>1217</v>
      </c>
      <c r="C219" s="1">
        <v>77</v>
      </c>
      <c r="D219" s="1" t="str">
        <f>VLOOKUP(Table1[[#This Row],[Age]],'Lookup &amp; Reference'!$G$2:$H$5,2,1)</f>
        <v>High</v>
      </c>
      <c r="E219" s="1" t="s">
        <v>18</v>
      </c>
      <c r="F219" s="1" t="str">
        <f>_xlfn.CONCAT(LEFT(Table1[[#This Row],[Gender]],1),Table1[[#This Row],[Age]])</f>
        <v>M77</v>
      </c>
      <c r="G219" s="1" t="s">
        <v>13</v>
      </c>
      <c r="H219" s="1">
        <f>LEN(Table1[[#This Row],[Chest_Pain_Type]])</f>
        <v>11</v>
      </c>
      <c r="I219" s="1">
        <v>149</v>
      </c>
      <c r="J219" s="1" t="str" cm="1">
        <f t="array" ref="J21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19" s="1">
        <v>212</v>
      </c>
      <c r="L219" s="1" t="s">
        <v>16</v>
      </c>
      <c r="M219" s="1" t="str">
        <f>IF(Table1[[#This Row],[Fasting_Blood_Sugar]]="Yes","Diabetic Risk","Normal")</f>
        <v>Diabetic Risk</v>
      </c>
      <c r="N219" s="1" t="s">
        <v>20</v>
      </c>
      <c r="O219" s="1">
        <v>169</v>
      </c>
      <c r="P219" s="1" t="s">
        <v>16</v>
      </c>
      <c r="Q219" s="4" t="s">
        <v>14</v>
      </c>
      <c r="R219" s="1" t="str" cm="1">
        <f t="array" ref="R21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19" s="1">
        <f>IFERROR(Table1[[#This Row],[Cholesterol]]/Table1[[#This Row],[Max_Heart_Rate]],"")</f>
        <v>1.2544378698224852</v>
      </c>
    </row>
    <row r="220" spans="1:19">
      <c r="A220" s="3" t="s">
        <v>240</v>
      </c>
      <c r="B220" s="3" t="str">
        <f>RIGHT(Table1[[#This Row],[Patient_ID]],4)</f>
        <v>1218</v>
      </c>
      <c r="C220" s="1">
        <v>65</v>
      </c>
      <c r="D220" s="1" t="str">
        <f>VLOOKUP(Table1[[#This Row],[Age]],'Lookup &amp; Reference'!$G$2:$H$5,2,1)</f>
        <v>High</v>
      </c>
      <c r="E220" s="1" t="s">
        <v>12</v>
      </c>
      <c r="F220" s="1" t="str">
        <f>_xlfn.CONCAT(LEFT(Table1[[#This Row],[Gender]],1),Table1[[#This Row],[Age]])</f>
        <v>F65</v>
      </c>
      <c r="G220" s="1" t="s">
        <v>22</v>
      </c>
      <c r="H220" s="1">
        <f>LEN(Table1[[#This Row],[Chest_Pain_Type]])</f>
        <v>15</v>
      </c>
      <c r="I220" s="1">
        <v>137</v>
      </c>
      <c r="J220" s="1" t="str" cm="1">
        <f t="array" ref="J22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20" s="1">
        <v>336</v>
      </c>
      <c r="L220" s="1" t="s">
        <v>16</v>
      </c>
      <c r="M220" s="1" t="str">
        <f>IF(Table1[[#This Row],[Fasting_Blood_Sugar]]="Yes","Diabetic Risk","Normal")</f>
        <v>Diabetic Risk</v>
      </c>
      <c r="N220" s="1" t="s">
        <v>27</v>
      </c>
      <c r="O220" s="1">
        <v>165</v>
      </c>
      <c r="P220" s="1" t="s">
        <v>14</v>
      </c>
      <c r="Q220" s="4" t="s">
        <v>16</v>
      </c>
      <c r="R220" s="1" t="str" cm="1">
        <f t="array" ref="R22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20" s="1">
        <f>IFERROR(Table1[[#This Row],[Cholesterol]]/Table1[[#This Row],[Max_Heart_Rate]],"")</f>
        <v>2.0363636363636362</v>
      </c>
    </row>
    <row r="221" spans="1:19">
      <c r="A221" s="3" t="s">
        <v>241</v>
      </c>
      <c r="B221" s="3" t="str">
        <f>RIGHT(Table1[[#This Row],[Patient_ID]],4)</f>
        <v>1219</v>
      </c>
      <c r="C221" s="1">
        <v>77</v>
      </c>
      <c r="D221" s="1" t="str">
        <f>VLOOKUP(Table1[[#This Row],[Age]],'Lookup &amp; Reference'!$G$2:$H$5,2,1)</f>
        <v>High</v>
      </c>
      <c r="E221" s="1" t="s">
        <v>18</v>
      </c>
      <c r="F221" s="1" t="str">
        <f>_xlfn.CONCAT(LEFT(Table1[[#This Row],[Gender]],1),Table1[[#This Row],[Age]])</f>
        <v>M77</v>
      </c>
      <c r="G221" s="1" t="s">
        <v>19</v>
      </c>
      <c r="H221" s="1">
        <f>LEN(Table1[[#This Row],[Chest_Pain_Type]])</f>
        <v>14</v>
      </c>
      <c r="I221" s="1">
        <v>166</v>
      </c>
      <c r="J221" s="1" t="str" cm="1">
        <f t="array" ref="J22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21" s="1">
        <v>280</v>
      </c>
      <c r="L221" s="1" t="s">
        <v>16</v>
      </c>
      <c r="M221" s="1" t="str">
        <f>IF(Table1[[#This Row],[Fasting_Blood_Sugar]]="Yes","Diabetic Risk","Normal")</f>
        <v>Diabetic Risk</v>
      </c>
      <c r="N221" s="1" t="s">
        <v>20</v>
      </c>
      <c r="O221" s="1">
        <v>155</v>
      </c>
      <c r="P221" s="1" t="s">
        <v>14</v>
      </c>
      <c r="Q221" s="4" t="s">
        <v>16</v>
      </c>
      <c r="R221" s="1" t="str" cm="1">
        <f t="array" ref="R22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21" s="1">
        <f>IFERROR(Table1[[#This Row],[Cholesterol]]/Table1[[#This Row],[Max_Heart_Rate]],"")</f>
        <v>1.8064516129032258</v>
      </c>
    </row>
    <row r="222" spans="1:19">
      <c r="A222" s="3" t="s">
        <v>242</v>
      </c>
      <c r="B222" s="3" t="str">
        <f>RIGHT(Table1[[#This Row],[Patient_ID]],4)</f>
        <v>1220</v>
      </c>
      <c r="C222" s="1">
        <v>45</v>
      </c>
      <c r="D222" s="1" t="str">
        <f>VLOOKUP(Table1[[#This Row],[Age]],'Lookup &amp; Reference'!$G$2:$H$5,2,1)</f>
        <v>Medium</v>
      </c>
      <c r="E222" s="1" t="s">
        <v>12</v>
      </c>
      <c r="F222" s="1" t="str">
        <f>_xlfn.CONCAT(LEFT(Table1[[#This Row],[Gender]],1),Table1[[#This Row],[Age]])</f>
        <v>F45</v>
      </c>
      <c r="G222" s="1" t="s">
        <v>22</v>
      </c>
      <c r="H222" s="1">
        <f>LEN(Table1[[#This Row],[Chest_Pain_Type]])</f>
        <v>15</v>
      </c>
      <c r="I222" s="1">
        <v>117</v>
      </c>
      <c r="J222" s="1" t="str" cm="1">
        <f t="array" ref="J22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22" s="1">
        <v>168</v>
      </c>
      <c r="L222" s="1" t="s">
        <v>16</v>
      </c>
      <c r="M222" s="1" t="str">
        <f>IF(Table1[[#This Row],[Fasting_Blood_Sugar]]="Yes","Diabetic Risk","Normal")</f>
        <v>Diabetic Risk</v>
      </c>
      <c r="N222" s="1" t="s">
        <v>20</v>
      </c>
      <c r="O222" s="1">
        <v>130</v>
      </c>
      <c r="P222" s="1" t="s">
        <v>16</v>
      </c>
      <c r="Q222" s="4" t="s">
        <v>16</v>
      </c>
      <c r="R222" s="1" t="str" cm="1">
        <f t="array" ref="R22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22" s="1">
        <f>IFERROR(Table1[[#This Row],[Cholesterol]]/Table1[[#This Row],[Max_Heart_Rate]],"")</f>
        <v>1.2923076923076924</v>
      </c>
    </row>
    <row r="223" spans="1:19">
      <c r="A223" s="3" t="s">
        <v>243</v>
      </c>
      <c r="B223" s="3" t="str">
        <f>RIGHT(Table1[[#This Row],[Patient_ID]],4)</f>
        <v>1221</v>
      </c>
      <c r="C223" s="1">
        <v>77</v>
      </c>
      <c r="D223" s="1" t="str">
        <f>VLOOKUP(Table1[[#This Row],[Age]],'Lookup &amp; Reference'!$G$2:$H$5,2,1)</f>
        <v>High</v>
      </c>
      <c r="E223" s="1" t="s">
        <v>12</v>
      </c>
      <c r="F223" s="1" t="str">
        <f>_xlfn.CONCAT(LEFT(Table1[[#This Row],[Gender]],1),Table1[[#This Row],[Age]])</f>
        <v>F77</v>
      </c>
      <c r="G223" s="1" t="s">
        <v>13</v>
      </c>
      <c r="H223" s="1">
        <f>LEN(Table1[[#This Row],[Chest_Pain_Type]])</f>
        <v>11</v>
      </c>
      <c r="I223" s="1">
        <v>158</v>
      </c>
      <c r="J223" s="1" t="str" cm="1">
        <f t="array" ref="J22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23" s="1">
        <v>343</v>
      </c>
      <c r="L223" s="1" t="s">
        <v>14</v>
      </c>
      <c r="M223" s="1" t="str">
        <f>IF(Table1[[#This Row],[Fasting_Blood_Sugar]]="Yes","Diabetic Risk","Normal")</f>
        <v>Normal</v>
      </c>
      <c r="N223" s="1" t="s">
        <v>15</v>
      </c>
      <c r="O223" s="1">
        <v>113</v>
      </c>
      <c r="P223" s="1" t="s">
        <v>14</v>
      </c>
      <c r="Q223" s="4" t="s">
        <v>14</v>
      </c>
      <c r="R223" s="1" t="str" cm="1">
        <f t="array" ref="R22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23" s="1">
        <f>IFERROR(Table1[[#This Row],[Cholesterol]]/Table1[[#This Row],[Max_Heart_Rate]],"")</f>
        <v>3.0353982300884956</v>
      </c>
    </row>
    <row r="224" spans="1:19">
      <c r="A224" s="3" t="s">
        <v>244</v>
      </c>
      <c r="B224" s="3" t="str">
        <f>RIGHT(Table1[[#This Row],[Patient_ID]],4)</f>
        <v>1222</v>
      </c>
      <c r="C224" s="1">
        <v>30</v>
      </c>
      <c r="D224" s="1" t="str">
        <f>VLOOKUP(Table1[[#This Row],[Age]],'Lookup &amp; Reference'!$G$2:$H$5,2,1)</f>
        <v>Low</v>
      </c>
      <c r="E224" s="1" t="s">
        <v>18</v>
      </c>
      <c r="F224" s="1" t="str">
        <f>_xlfn.CONCAT(LEFT(Table1[[#This Row],[Gender]],1),Table1[[#This Row],[Age]])</f>
        <v>M30</v>
      </c>
      <c r="G224" s="1" t="s">
        <v>19</v>
      </c>
      <c r="H224" s="1">
        <f>LEN(Table1[[#This Row],[Chest_Pain_Type]])</f>
        <v>14</v>
      </c>
      <c r="I224" s="1">
        <v>166</v>
      </c>
      <c r="J224" s="1" t="str" cm="1">
        <f t="array" ref="J22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24" s="1">
        <v>154</v>
      </c>
      <c r="L224" s="1" t="s">
        <v>16</v>
      </c>
      <c r="M224" s="1" t="str">
        <f>IF(Table1[[#This Row],[Fasting_Blood_Sugar]]="Yes","Diabetic Risk","Normal")</f>
        <v>Diabetic Risk</v>
      </c>
      <c r="N224" s="1" t="s">
        <v>20</v>
      </c>
      <c r="O224" s="1">
        <v>124</v>
      </c>
      <c r="P224" s="1" t="s">
        <v>14</v>
      </c>
      <c r="Q224" s="4" t="s">
        <v>14</v>
      </c>
      <c r="R224" s="1" t="str" cm="1">
        <f t="array" ref="R22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24" s="1">
        <f>IFERROR(Table1[[#This Row],[Cholesterol]]/Table1[[#This Row],[Max_Heart_Rate]],"")</f>
        <v>1.2419354838709677</v>
      </c>
    </row>
    <row r="225" spans="1:19">
      <c r="A225" s="3" t="s">
        <v>245</v>
      </c>
      <c r="B225" s="3" t="str">
        <f>RIGHT(Table1[[#This Row],[Patient_ID]],4)</f>
        <v>1223</v>
      </c>
      <c r="C225" s="1">
        <v>30</v>
      </c>
      <c r="D225" s="1" t="str">
        <f>VLOOKUP(Table1[[#This Row],[Age]],'Lookup &amp; Reference'!$G$2:$H$5,2,1)</f>
        <v>Low</v>
      </c>
      <c r="E225" s="1" t="s">
        <v>18</v>
      </c>
      <c r="F225" s="1" t="str">
        <f>_xlfn.CONCAT(LEFT(Table1[[#This Row],[Gender]],1),Table1[[#This Row],[Age]])</f>
        <v>M30</v>
      </c>
      <c r="G225" s="1" t="s">
        <v>22</v>
      </c>
      <c r="H225" s="1">
        <f>LEN(Table1[[#This Row],[Chest_Pain_Type]])</f>
        <v>15</v>
      </c>
      <c r="I225" s="1">
        <v>170</v>
      </c>
      <c r="J225" s="1" t="str" cm="1">
        <f t="array" ref="J22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25" s="1">
        <v>291</v>
      </c>
      <c r="L225" s="1" t="s">
        <v>16</v>
      </c>
      <c r="M225" s="1" t="str">
        <f>IF(Table1[[#This Row],[Fasting_Blood_Sugar]]="Yes","Diabetic Risk","Normal")</f>
        <v>Diabetic Risk</v>
      </c>
      <c r="N225" s="1" t="s">
        <v>20</v>
      </c>
      <c r="O225" s="1">
        <v>145</v>
      </c>
      <c r="P225" s="1" t="s">
        <v>16</v>
      </c>
      <c r="Q225" s="4" t="s">
        <v>16</v>
      </c>
      <c r="R225" s="1" t="str" cm="1">
        <f t="array" ref="R22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25" s="1">
        <f>IFERROR(Table1[[#This Row],[Cholesterol]]/Table1[[#This Row],[Max_Heart_Rate]],"")</f>
        <v>2.0068965517241377</v>
      </c>
    </row>
    <row r="226" spans="1:19">
      <c r="A226" s="3" t="s">
        <v>246</v>
      </c>
      <c r="B226" s="3" t="str">
        <f>RIGHT(Table1[[#This Row],[Patient_ID]],4)</f>
        <v>1224</v>
      </c>
      <c r="C226" s="1">
        <v>56</v>
      </c>
      <c r="D226" s="1" t="str">
        <f>VLOOKUP(Table1[[#This Row],[Age]],'Lookup &amp; Reference'!$G$2:$H$5,2,1)</f>
        <v>Medium</v>
      </c>
      <c r="E226" s="1" t="s">
        <v>12</v>
      </c>
      <c r="F226" s="1" t="str">
        <f>_xlfn.CONCAT(LEFT(Table1[[#This Row],[Gender]],1),Table1[[#This Row],[Age]])</f>
        <v>F56</v>
      </c>
      <c r="G226" s="1" t="s">
        <v>25</v>
      </c>
      <c r="H226" s="1">
        <f>LEN(Table1[[#This Row],[Chest_Pain_Type]])</f>
        <v>12</v>
      </c>
      <c r="I226" s="1">
        <v>129</v>
      </c>
      <c r="J226" s="1" t="str" cm="1">
        <f t="array" ref="J22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26" s="1">
        <v>221</v>
      </c>
      <c r="L226" s="1" t="s">
        <v>14</v>
      </c>
      <c r="M226" s="1" t="str">
        <f>IF(Table1[[#This Row],[Fasting_Blood_Sugar]]="Yes","Diabetic Risk","Normal")</f>
        <v>Normal</v>
      </c>
      <c r="N226" s="1" t="s">
        <v>15</v>
      </c>
      <c r="O226" s="1">
        <v>119</v>
      </c>
      <c r="P226" s="1" t="s">
        <v>16</v>
      </c>
      <c r="Q226" s="4" t="s">
        <v>14</v>
      </c>
      <c r="R226" s="1" t="str" cm="1">
        <f t="array" ref="R22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26" s="1">
        <f>IFERROR(Table1[[#This Row],[Cholesterol]]/Table1[[#This Row],[Max_Heart_Rate]],"")</f>
        <v>1.8571428571428572</v>
      </c>
    </row>
    <row r="227" spans="1:19">
      <c r="A227" s="3" t="s">
        <v>247</v>
      </c>
      <c r="B227" s="3" t="str">
        <f>RIGHT(Table1[[#This Row],[Patient_ID]],4)</f>
        <v>1225</v>
      </c>
      <c r="C227" s="1">
        <v>51</v>
      </c>
      <c r="D227" s="1" t="str">
        <f>VLOOKUP(Table1[[#This Row],[Age]],'Lookup &amp; Reference'!$G$2:$H$5,2,1)</f>
        <v>Medium</v>
      </c>
      <c r="E227" s="1" t="s">
        <v>18</v>
      </c>
      <c r="F227" s="1" t="str">
        <f>_xlfn.CONCAT(LEFT(Table1[[#This Row],[Gender]],1),Table1[[#This Row],[Age]])</f>
        <v>M51</v>
      </c>
      <c r="G227" s="1" t="s">
        <v>19</v>
      </c>
      <c r="H227" s="1">
        <f>LEN(Table1[[#This Row],[Chest_Pain_Type]])</f>
        <v>14</v>
      </c>
      <c r="I227" s="1">
        <v>134</v>
      </c>
      <c r="J227" s="1" t="str" cm="1">
        <f t="array" ref="J227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27" s="1">
        <v>337</v>
      </c>
      <c r="L227" s="1" t="s">
        <v>16</v>
      </c>
      <c r="M227" s="1" t="str">
        <f>IF(Table1[[#This Row],[Fasting_Blood_Sugar]]="Yes","Diabetic Risk","Normal")</f>
        <v>Diabetic Risk</v>
      </c>
      <c r="N227" s="1" t="s">
        <v>15</v>
      </c>
      <c r="O227" s="1">
        <v>146</v>
      </c>
      <c r="P227" s="1" t="s">
        <v>14</v>
      </c>
      <c r="Q227" s="4" t="s">
        <v>14</v>
      </c>
      <c r="R227" s="1" t="str" cm="1">
        <f t="array" ref="R22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27" s="1">
        <f>IFERROR(Table1[[#This Row],[Cholesterol]]/Table1[[#This Row],[Max_Heart_Rate]],"")</f>
        <v>2.3082191780821919</v>
      </c>
    </row>
    <row r="228" spans="1:19">
      <c r="A228" s="3" t="s">
        <v>248</v>
      </c>
      <c r="B228" s="3" t="str">
        <f>RIGHT(Table1[[#This Row],[Patient_ID]],4)</f>
        <v>1226</v>
      </c>
      <c r="C228" s="1">
        <v>65</v>
      </c>
      <c r="D228" s="1" t="str">
        <f>VLOOKUP(Table1[[#This Row],[Age]],'Lookup &amp; Reference'!$G$2:$H$5,2,1)</f>
        <v>High</v>
      </c>
      <c r="E228" s="1" t="s">
        <v>18</v>
      </c>
      <c r="F228" s="1" t="str">
        <f>_xlfn.CONCAT(LEFT(Table1[[#This Row],[Gender]],1),Table1[[#This Row],[Age]])</f>
        <v>M65</v>
      </c>
      <c r="G228" s="1" t="s">
        <v>22</v>
      </c>
      <c r="H228" s="1">
        <f>LEN(Table1[[#This Row],[Chest_Pain_Type]])</f>
        <v>15</v>
      </c>
      <c r="I228" s="1">
        <v>185</v>
      </c>
      <c r="J228" s="1" t="str" cm="1">
        <f t="array" ref="J22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28" s="1">
        <v>130</v>
      </c>
      <c r="L228" s="1" t="s">
        <v>16</v>
      </c>
      <c r="M228" s="1" t="str">
        <f>IF(Table1[[#This Row],[Fasting_Blood_Sugar]]="Yes","Diabetic Risk","Normal")</f>
        <v>Diabetic Risk</v>
      </c>
      <c r="N228" s="1" t="s">
        <v>27</v>
      </c>
      <c r="O228" s="1">
        <v>183</v>
      </c>
      <c r="P228" s="1" t="s">
        <v>16</v>
      </c>
      <c r="Q228" s="4" t="s">
        <v>16</v>
      </c>
      <c r="R228" s="1" t="str" cm="1">
        <f t="array" ref="R22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28" s="1">
        <f>IFERROR(Table1[[#This Row],[Cholesterol]]/Table1[[#This Row],[Max_Heart_Rate]],"")</f>
        <v>0.7103825136612022</v>
      </c>
    </row>
    <row r="229" spans="1:19">
      <c r="A229" s="3" t="s">
        <v>249</v>
      </c>
      <c r="B229" s="3" t="str">
        <f>RIGHT(Table1[[#This Row],[Patient_ID]],4)</f>
        <v>1227</v>
      </c>
      <c r="C229" s="1">
        <v>60</v>
      </c>
      <c r="D229" s="1" t="str">
        <f>VLOOKUP(Table1[[#This Row],[Age]],'Lookup &amp; Reference'!$G$2:$H$5,2,1)</f>
        <v>High</v>
      </c>
      <c r="E229" s="1" t="s">
        <v>12</v>
      </c>
      <c r="F229" s="1" t="str">
        <f>_xlfn.CONCAT(LEFT(Table1[[#This Row],[Gender]],1),Table1[[#This Row],[Age]])</f>
        <v>F60</v>
      </c>
      <c r="G229" s="1" t="s">
        <v>13</v>
      </c>
      <c r="H229" s="1">
        <f>LEN(Table1[[#This Row],[Chest_Pain_Type]])</f>
        <v>11</v>
      </c>
      <c r="I229" s="1">
        <v>151</v>
      </c>
      <c r="J229" s="1" t="str" cm="1">
        <f t="array" ref="J22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29" s="1">
        <v>218</v>
      </c>
      <c r="L229" s="1" t="s">
        <v>14</v>
      </c>
      <c r="M229" s="1" t="str">
        <f>IF(Table1[[#This Row],[Fasting_Blood_Sugar]]="Yes","Diabetic Risk","Normal")</f>
        <v>Normal</v>
      </c>
      <c r="N229" s="1" t="s">
        <v>20</v>
      </c>
      <c r="O229" s="1">
        <v>136</v>
      </c>
      <c r="P229" s="1" t="s">
        <v>16</v>
      </c>
      <c r="Q229" s="4" t="s">
        <v>16</v>
      </c>
      <c r="R229" s="1" t="str" cm="1">
        <f t="array" ref="R22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29" s="1">
        <f>IFERROR(Table1[[#This Row],[Cholesterol]]/Table1[[#This Row],[Max_Heart_Rate]],"")</f>
        <v>1.6029411764705883</v>
      </c>
    </row>
    <row r="230" spans="1:19">
      <c r="A230" s="3" t="s">
        <v>250</v>
      </c>
      <c r="B230" s="3" t="str">
        <f>RIGHT(Table1[[#This Row],[Patient_ID]],4)</f>
        <v>1228</v>
      </c>
      <c r="C230" s="1">
        <v>61</v>
      </c>
      <c r="D230" s="1" t="str">
        <f>VLOOKUP(Table1[[#This Row],[Age]],'Lookup &amp; Reference'!$G$2:$H$5,2,1)</f>
        <v>High</v>
      </c>
      <c r="E230" s="1" t="s">
        <v>12</v>
      </c>
      <c r="F230" s="1" t="str">
        <f>_xlfn.CONCAT(LEFT(Table1[[#This Row],[Gender]],1),Table1[[#This Row],[Age]])</f>
        <v>F61</v>
      </c>
      <c r="G230" s="1" t="s">
        <v>13</v>
      </c>
      <c r="H230" s="1">
        <f>LEN(Table1[[#This Row],[Chest_Pain_Type]])</f>
        <v>11</v>
      </c>
      <c r="I230" s="1">
        <v>182</v>
      </c>
      <c r="J230" s="1" t="str" cm="1">
        <f t="array" ref="J23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0" s="1">
        <v>319</v>
      </c>
      <c r="L230" s="1" t="s">
        <v>14</v>
      </c>
      <c r="M230" s="1" t="str">
        <f>IF(Table1[[#This Row],[Fasting_Blood_Sugar]]="Yes","Diabetic Risk","Normal")</f>
        <v>Normal</v>
      </c>
      <c r="N230" s="1" t="s">
        <v>15</v>
      </c>
      <c r="O230" s="1">
        <v>124</v>
      </c>
      <c r="P230" s="1" t="s">
        <v>14</v>
      </c>
      <c r="Q230" s="4" t="s">
        <v>14</v>
      </c>
      <c r="R230" s="1" t="str" cm="1">
        <f t="array" ref="R23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0" s="1">
        <f>IFERROR(Table1[[#This Row],[Cholesterol]]/Table1[[#This Row],[Max_Heart_Rate]],"")</f>
        <v>2.5725806451612905</v>
      </c>
    </row>
    <row r="231" spans="1:19">
      <c r="A231" s="3" t="s">
        <v>251</v>
      </c>
      <c r="B231" s="3" t="str">
        <f>RIGHT(Table1[[#This Row],[Patient_ID]],4)</f>
        <v>1229</v>
      </c>
      <c r="C231" s="1">
        <v>29</v>
      </c>
      <c r="D231" s="1" t="e">
        <f>VLOOKUP(Table1[[#This Row],[Age]],'Lookup &amp; Reference'!$G$2:$H$5,2,1)</f>
        <v>#N/A</v>
      </c>
      <c r="E231" s="1" t="s">
        <v>18</v>
      </c>
      <c r="F231" s="1" t="str">
        <f>_xlfn.CONCAT(LEFT(Table1[[#This Row],[Gender]],1),Table1[[#This Row],[Age]])</f>
        <v>M29</v>
      </c>
      <c r="G231" s="1" t="s">
        <v>19</v>
      </c>
      <c r="H231" s="1">
        <f>LEN(Table1[[#This Row],[Chest_Pain_Type]])</f>
        <v>14</v>
      </c>
      <c r="I231" s="1">
        <v>147</v>
      </c>
      <c r="J231" s="1" t="str" cm="1">
        <f t="array" ref="J23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1" s="1">
        <v>229</v>
      </c>
      <c r="L231" s="1" t="s">
        <v>14</v>
      </c>
      <c r="M231" s="1" t="str">
        <f>IF(Table1[[#This Row],[Fasting_Blood_Sugar]]="Yes","Diabetic Risk","Normal")</f>
        <v>Normal</v>
      </c>
      <c r="N231" s="1" t="s">
        <v>27</v>
      </c>
      <c r="O231" s="1">
        <v>108</v>
      </c>
      <c r="P231" s="1" t="s">
        <v>16</v>
      </c>
      <c r="Q231" s="4" t="s">
        <v>16</v>
      </c>
      <c r="R231" s="1" t="str" cm="1">
        <f t="array" ref="R23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1" s="1">
        <f>IFERROR(Table1[[#This Row],[Cholesterol]]/Table1[[#This Row],[Max_Heart_Rate]],"")</f>
        <v>2.1203703703703702</v>
      </c>
    </row>
    <row r="232" spans="1:19">
      <c r="A232" s="3" t="s">
        <v>252</v>
      </c>
      <c r="B232" s="3" t="str">
        <f>RIGHT(Table1[[#This Row],[Patient_ID]],4)</f>
        <v>1230</v>
      </c>
      <c r="C232" s="1">
        <v>47</v>
      </c>
      <c r="D232" s="1" t="str">
        <f>VLOOKUP(Table1[[#This Row],[Age]],'Lookup &amp; Reference'!$G$2:$H$5,2,1)</f>
        <v>Medium</v>
      </c>
      <c r="E232" s="1" t="s">
        <v>12</v>
      </c>
      <c r="F232" s="1" t="str">
        <f>_xlfn.CONCAT(LEFT(Table1[[#This Row],[Gender]],1),Table1[[#This Row],[Age]])</f>
        <v>F47</v>
      </c>
      <c r="G232" s="1" t="s">
        <v>22</v>
      </c>
      <c r="H232" s="1">
        <f>LEN(Table1[[#This Row],[Chest_Pain_Type]])</f>
        <v>15</v>
      </c>
      <c r="I232" s="1">
        <v>156</v>
      </c>
      <c r="J232" s="1" t="str" cm="1">
        <f t="array" ref="J23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2" s="1">
        <v>325</v>
      </c>
      <c r="L232" s="1" t="s">
        <v>14</v>
      </c>
      <c r="M232" s="1" t="str">
        <f>IF(Table1[[#This Row],[Fasting_Blood_Sugar]]="Yes","Diabetic Risk","Normal")</f>
        <v>Normal</v>
      </c>
      <c r="N232" s="1" t="s">
        <v>27</v>
      </c>
      <c r="O232" s="1">
        <v>203</v>
      </c>
      <c r="P232" s="1" t="s">
        <v>16</v>
      </c>
      <c r="Q232" s="4" t="s">
        <v>14</v>
      </c>
      <c r="R232" s="1" t="str" cm="1">
        <f t="array" ref="R23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2" s="1">
        <f>IFERROR(Table1[[#This Row],[Cholesterol]]/Table1[[#This Row],[Max_Heart_Rate]],"")</f>
        <v>1.6009852216748768</v>
      </c>
    </row>
    <row r="233" spans="1:19">
      <c r="A233" s="3" t="s">
        <v>253</v>
      </c>
      <c r="B233" s="3" t="str">
        <f>RIGHT(Table1[[#This Row],[Patient_ID]],4)</f>
        <v>1231</v>
      </c>
      <c r="C233" s="1">
        <v>30</v>
      </c>
      <c r="D233" s="1" t="str">
        <f>VLOOKUP(Table1[[#This Row],[Age]],'Lookup &amp; Reference'!$G$2:$H$5,2,1)</f>
        <v>Low</v>
      </c>
      <c r="E233" s="1" t="s">
        <v>18</v>
      </c>
      <c r="F233" s="1" t="str">
        <f>_xlfn.CONCAT(LEFT(Table1[[#This Row],[Gender]],1),Table1[[#This Row],[Age]])</f>
        <v>M30</v>
      </c>
      <c r="G233" s="1" t="s">
        <v>19</v>
      </c>
      <c r="H233" s="1">
        <f>LEN(Table1[[#This Row],[Chest_Pain_Type]])</f>
        <v>14</v>
      </c>
      <c r="I233" s="1">
        <v>145</v>
      </c>
      <c r="J233" s="1" t="str" cm="1">
        <f t="array" ref="J23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3" s="1">
        <v>193</v>
      </c>
      <c r="L233" s="1" t="s">
        <v>14</v>
      </c>
      <c r="M233" s="1" t="str">
        <f>IF(Table1[[#This Row],[Fasting_Blood_Sugar]]="Yes","Diabetic Risk","Normal")</f>
        <v>Normal</v>
      </c>
      <c r="N233" s="1" t="s">
        <v>20</v>
      </c>
      <c r="O233" s="1">
        <v>97</v>
      </c>
      <c r="P233" s="1" t="s">
        <v>16</v>
      </c>
      <c r="Q233" s="4" t="s">
        <v>14</v>
      </c>
      <c r="R233" s="1" t="str" cm="1">
        <f t="array" ref="R23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3" s="1">
        <f>IFERROR(Table1[[#This Row],[Cholesterol]]/Table1[[#This Row],[Max_Heart_Rate]],"")</f>
        <v>1.9896907216494846</v>
      </c>
    </row>
    <row r="234" spans="1:19">
      <c r="A234" s="3" t="s">
        <v>254</v>
      </c>
      <c r="B234" s="3" t="str">
        <f>RIGHT(Table1[[#This Row],[Patient_ID]],4)</f>
        <v>1232</v>
      </c>
      <c r="C234" s="1">
        <v>72</v>
      </c>
      <c r="D234" s="1" t="str">
        <f>VLOOKUP(Table1[[#This Row],[Age]],'Lookup &amp; Reference'!$G$2:$H$5,2,1)</f>
        <v>High</v>
      </c>
      <c r="E234" s="1" t="s">
        <v>18</v>
      </c>
      <c r="F234" s="1" t="str">
        <f>_xlfn.CONCAT(LEFT(Table1[[#This Row],[Gender]],1),Table1[[#This Row],[Age]])</f>
        <v>M72</v>
      </c>
      <c r="G234" s="1" t="s">
        <v>19</v>
      </c>
      <c r="H234" s="1">
        <f>LEN(Table1[[#This Row],[Chest_Pain_Type]])</f>
        <v>14</v>
      </c>
      <c r="I234" s="1">
        <v>129</v>
      </c>
      <c r="J234" s="1" t="str" cm="1">
        <f t="array" ref="J23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34" s="1">
        <v>313</v>
      </c>
      <c r="L234" s="1" t="s">
        <v>14</v>
      </c>
      <c r="M234" s="1" t="str">
        <f>IF(Table1[[#This Row],[Fasting_Blood_Sugar]]="Yes","Diabetic Risk","Normal")</f>
        <v>Normal</v>
      </c>
      <c r="N234" s="1" t="s">
        <v>20</v>
      </c>
      <c r="O234" s="1">
        <v>115</v>
      </c>
      <c r="P234" s="1" t="s">
        <v>16</v>
      </c>
      <c r="Q234" s="4" t="s">
        <v>16</v>
      </c>
      <c r="R234" s="1" t="str" cm="1">
        <f t="array" ref="R23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34" s="1">
        <f>IFERROR(Table1[[#This Row],[Cholesterol]]/Table1[[#This Row],[Max_Heart_Rate]],"")</f>
        <v>2.7217391304347824</v>
      </c>
    </row>
    <row r="235" spans="1:19">
      <c r="A235" s="3" t="s">
        <v>255</v>
      </c>
      <c r="B235" s="3" t="str">
        <f>RIGHT(Table1[[#This Row],[Patient_ID]],4)</f>
        <v>1233</v>
      </c>
      <c r="C235" s="1">
        <v>54</v>
      </c>
      <c r="D235" s="1" t="str">
        <f>VLOOKUP(Table1[[#This Row],[Age]],'Lookup &amp; Reference'!$G$2:$H$5,2,1)</f>
        <v>Medium</v>
      </c>
      <c r="E235" s="1" t="s">
        <v>18</v>
      </c>
      <c r="F235" s="1" t="str">
        <f>_xlfn.CONCAT(LEFT(Table1[[#This Row],[Gender]],1),Table1[[#This Row],[Age]])</f>
        <v>M54</v>
      </c>
      <c r="G235" s="1" t="s">
        <v>22</v>
      </c>
      <c r="H235" s="1">
        <f>LEN(Table1[[#This Row],[Chest_Pain_Type]])</f>
        <v>15</v>
      </c>
      <c r="I235" s="1">
        <v>187</v>
      </c>
      <c r="J235" s="1" t="str" cm="1">
        <f t="array" ref="J23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5" s="1">
        <v>293</v>
      </c>
      <c r="L235" s="1" t="s">
        <v>14</v>
      </c>
      <c r="M235" s="1" t="str">
        <f>IF(Table1[[#This Row],[Fasting_Blood_Sugar]]="Yes","Diabetic Risk","Normal")</f>
        <v>Normal</v>
      </c>
      <c r="N235" s="1" t="s">
        <v>27</v>
      </c>
      <c r="O235" s="1">
        <v>202</v>
      </c>
      <c r="P235" s="1" t="s">
        <v>16</v>
      </c>
      <c r="Q235" s="4" t="s">
        <v>14</v>
      </c>
      <c r="R235" s="1" t="str" cm="1">
        <f t="array" ref="R23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5" s="1">
        <f>IFERROR(Table1[[#This Row],[Cholesterol]]/Table1[[#This Row],[Max_Heart_Rate]],"")</f>
        <v>1.4504950495049505</v>
      </c>
    </row>
    <row r="236" spans="1:19">
      <c r="A236" s="3" t="s">
        <v>256</v>
      </c>
      <c r="B236" s="3" t="str">
        <f>RIGHT(Table1[[#This Row],[Patient_ID]],4)</f>
        <v>1234</v>
      </c>
      <c r="C236" s="1">
        <v>60</v>
      </c>
      <c r="D236" s="1" t="str">
        <f>VLOOKUP(Table1[[#This Row],[Age]],'Lookup &amp; Reference'!$G$2:$H$5,2,1)</f>
        <v>High</v>
      </c>
      <c r="E236" s="1" t="s">
        <v>12</v>
      </c>
      <c r="F236" s="1" t="str">
        <f>_xlfn.CONCAT(LEFT(Table1[[#This Row],[Gender]],1),Table1[[#This Row],[Age]])</f>
        <v>F60</v>
      </c>
      <c r="G236" s="1" t="s">
        <v>22</v>
      </c>
      <c r="H236" s="1">
        <f>LEN(Table1[[#This Row],[Chest_Pain_Type]])</f>
        <v>15</v>
      </c>
      <c r="I236" s="1">
        <v>129</v>
      </c>
      <c r="J236" s="1" t="str" cm="1">
        <f t="array" ref="J23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36" s="1">
        <v>128</v>
      </c>
      <c r="L236" s="1" t="s">
        <v>16</v>
      </c>
      <c r="M236" s="1" t="str">
        <f>IF(Table1[[#This Row],[Fasting_Blood_Sugar]]="Yes","Diabetic Risk","Normal")</f>
        <v>Diabetic Risk</v>
      </c>
      <c r="N236" s="1" t="s">
        <v>15</v>
      </c>
      <c r="O236" s="1">
        <v>193</v>
      </c>
      <c r="P236" s="1" t="s">
        <v>14</v>
      </c>
      <c r="Q236" s="4" t="s">
        <v>14</v>
      </c>
      <c r="R236" s="1" t="str" cm="1">
        <f t="array" ref="R23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6" s="1">
        <f>IFERROR(Table1[[#This Row],[Cholesterol]]/Table1[[#This Row],[Max_Heart_Rate]],"")</f>
        <v>0.66321243523316065</v>
      </c>
    </row>
    <row r="237" spans="1:19">
      <c r="A237" s="3" t="s">
        <v>257</v>
      </c>
      <c r="B237" s="3" t="str">
        <f>RIGHT(Table1[[#This Row],[Patient_ID]],4)</f>
        <v>1235</v>
      </c>
      <c r="C237" s="1">
        <v>34</v>
      </c>
      <c r="D237" s="1" t="str">
        <f>VLOOKUP(Table1[[#This Row],[Age]],'Lookup &amp; Reference'!$G$2:$H$5,2,1)</f>
        <v>Low</v>
      </c>
      <c r="E237" s="1" t="s">
        <v>12</v>
      </c>
      <c r="F237" s="1" t="str">
        <f>_xlfn.CONCAT(LEFT(Table1[[#This Row],[Gender]],1),Table1[[#This Row],[Age]])</f>
        <v>F34</v>
      </c>
      <c r="G237" s="1" t="s">
        <v>25</v>
      </c>
      <c r="H237" s="1">
        <f>LEN(Table1[[#This Row],[Chest_Pain_Type]])</f>
        <v>12</v>
      </c>
      <c r="I237" s="1">
        <v>180</v>
      </c>
      <c r="J237" s="1" t="str" cm="1">
        <f t="array" ref="J23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7" s="1">
        <v>122</v>
      </c>
      <c r="L237" s="1" t="s">
        <v>14</v>
      </c>
      <c r="M237" s="1" t="str">
        <f>IF(Table1[[#This Row],[Fasting_Blood_Sugar]]="Yes","Diabetic Risk","Normal")</f>
        <v>Normal</v>
      </c>
      <c r="N237" s="1" t="s">
        <v>27</v>
      </c>
      <c r="O237" s="1">
        <v>160</v>
      </c>
      <c r="P237" s="1" t="s">
        <v>14</v>
      </c>
      <c r="Q237" s="4" t="s">
        <v>16</v>
      </c>
      <c r="R237" s="1" t="str" cm="1">
        <f t="array" ref="R23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7" s="1">
        <f>IFERROR(Table1[[#This Row],[Cholesterol]]/Table1[[#This Row],[Max_Heart_Rate]],"")</f>
        <v>0.76249999999999996</v>
      </c>
    </row>
    <row r="238" spans="1:19">
      <c r="A238" s="3" t="s">
        <v>258</v>
      </c>
      <c r="B238" s="3" t="str">
        <f>RIGHT(Table1[[#This Row],[Patient_ID]],4)</f>
        <v>1236</v>
      </c>
      <c r="C238" s="1">
        <v>60</v>
      </c>
      <c r="D238" s="1" t="str">
        <f>VLOOKUP(Table1[[#This Row],[Age]],'Lookup &amp; Reference'!$G$2:$H$5,2,1)</f>
        <v>High</v>
      </c>
      <c r="E238" s="1" t="s">
        <v>12</v>
      </c>
      <c r="F238" s="1" t="str">
        <f>_xlfn.CONCAT(LEFT(Table1[[#This Row],[Gender]],1),Table1[[#This Row],[Age]])</f>
        <v>F60</v>
      </c>
      <c r="G238" s="1" t="s">
        <v>22</v>
      </c>
      <c r="H238" s="1">
        <f>LEN(Table1[[#This Row],[Chest_Pain_Type]])</f>
        <v>15</v>
      </c>
      <c r="I238" s="1">
        <v>166</v>
      </c>
      <c r="J238" s="1" t="str" cm="1">
        <f t="array" ref="J23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38" s="1">
        <v>204</v>
      </c>
      <c r="L238" s="1" t="s">
        <v>14</v>
      </c>
      <c r="M238" s="1" t="str">
        <f>IF(Table1[[#This Row],[Fasting_Blood_Sugar]]="Yes","Diabetic Risk","Normal")</f>
        <v>Normal</v>
      </c>
      <c r="N238" s="1" t="s">
        <v>20</v>
      </c>
      <c r="O238" s="1">
        <v>119</v>
      </c>
      <c r="P238" s="1" t="s">
        <v>16</v>
      </c>
      <c r="Q238" s="4" t="s">
        <v>16</v>
      </c>
      <c r="R238" s="1" t="str" cm="1">
        <f t="array" ref="R23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38" s="1">
        <f>IFERROR(Table1[[#This Row],[Cholesterol]]/Table1[[#This Row],[Max_Heart_Rate]],"")</f>
        <v>1.7142857142857142</v>
      </c>
    </row>
    <row r="239" spans="1:19">
      <c r="A239" s="3" t="s">
        <v>259</v>
      </c>
      <c r="B239" s="3" t="str">
        <f>RIGHT(Table1[[#This Row],[Patient_ID]],4)</f>
        <v>1237</v>
      </c>
      <c r="C239" s="1">
        <v>32</v>
      </c>
      <c r="D239" s="1" t="str">
        <f>VLOOKUP(Table1[[#This Row],[Age]],'Lookup &amp; Reference'!$G$2:$H$5,2,1)</f>
        <v>Low</v>
      </c>
      <c r="E239" s="1" t="s">
        <v>12</v>
      </c>
      <c r="F239" s="1" t="str">
        <f>_xlfn.CONCAT(LEFT(Table1[[#This Row],[Gender]],1),Table1[[#This Row],[Age]])</f>
        <v>F32</v>
      </c>
      <c r="G239" s="1" t="s">
        <v>13</v>
      </c>
      <c r="H239" s="1">
        <f>LEN(Table1[[#This Row],[Chest_Pain_Type]])</f>
        <v>11</v>
      </c>
      <c r="I239" s="1">
        <v>122</v>
      </c>
      <c r="J239" s="1" t="str" cm="1">
        <f t="array" ref="J23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39" s="1">
        <v>145</v>
      </c>
      <c r="L239" s="1" t="s">
        <v>14</v>
      </c>
      <c r="M239" s="1" t="str">
        <f>IF(Table1[[#This Row],[Fasting_Blood_Sugar]]="Yes","Diabetic Risk","Normal")</f>
        <v>Normal</v>
      </c>
      <c r="N239" s="1" t="s">
        <v>15</v>
      </c>
      <c r="O239" s="1">
        <v>96</v>
      </c>
      <c r="P239" s="1" t="s">
        <v>14</v>
      </c>
      <c r="Q239" s="4" t="s">
        <v>16</v>
      </c>
      <c r="R239" s="1" t="str" cm="1">
        <f t="array" ref="R23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39" s="1">
        <f>IFERROR(Table1[[#This Row],[Cholesterol]]/Table1[[#This Row],[Max_Heart_Rate]],"")</f>
        <v>1.5104166666666667</v>
      </c>
    </row>
    <row r="240" spans="1:19">
      <c r="A240" s="3" t="s">
        <v>260</v>
      </c>
      <c r="B240" s="3" t="str">
        <f>RIGHT(Table1[[#This Row],[Patient_ID]],4)</f>
        <v>1238</v>
      </c>
      <c r="C240" s="1">
        <v>39</v>
      </c>
      <c r="D240" s="1" t="str">
        <f>VLOOKUP(Table1[[#This Row],[Age]],'Lookup &amp; Reference'!$G$2:$H$5,2,1)</f>
        <v>Low</v>
      </c>
      <c r="E240" s="1" t="s">
        <v>12</v>
      </c>
      <c r="F240" s="1" t="str">
        <f>_xlfn.CONCAT(LEFT(Table1[[#This Row],[Gender]],1),Table1[[#This Row],[Age]])</f>
        <v>F39</v>
      </c>
      <c r="G240" s="1" t="s">
        <v>19</v>
      </c>
      <c r="H240" s="1">
        <f>LEN(Table1[[#This Row],[Chest_Pain_Type]])</f>
        <v>14</v>
      </c>
      <c r="I240" s="1">
        <v>95</v>
      </c>
      <c r="J240" s="1" t="str" cm="1">
        <f t="array" ref="J24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40" s="1">
        <v>191</v>
      </c>
      <c r="L240" s="1" t="s">
        <v>16</v>
      </c>
      <c r="M240" s="1" t="str">
        <f>IF(Table1[[#This Row],[Fasting_Blood_Sugar]]="Yes","Diabetic Risk","Normal")</f>
        <v>Diabetic Risk</v>
      </c>
      <c r="N240" s="1" t="s">
        <v>15</v>
      </c>
      <c r="O240" s="1">
        <v>156</v>
      </c>
      <c r="P240" s="1" t="s">
        <v>16</v>
      </c>
      <c r="Q240" s="4" t="s">
        <v>14</v>
      </c>
      <c r="R240" s="1" t="str" cm="1">
        <f t="array" ref="R24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40" s="1">
        <f>IFERROR(Table1[[#This Row],[Cholesterol]]/Table1[[#This Row],[Max_Heart_Rate]],"")</f>
        <v>1.2243589743589745</v>
      </c>
    </row>
    <row r="241" spans="1:19">
      <c r="A241" s="3" t="s">
        <v>261</v>
      </c>
      <c r="B241" s="3" t="str">
        <f>RIGHT(Table1[[#This Row],[Patient_ID]],4)</f>
        <v>1239</v>
      </c>
      <c r="C241" s="1">
        <v>45</v>
      </c>
      <c r="D241" s="1" t="str">
        <f>VLOOKUP(Table1[[#This Row],[Age]],'Lookup &amp; Reference'!$G$2:$H$5,2,1)</f>
        <v>Medium</v>
      </c>
      <c r="E241" s="1" t="s">
        <v>18</v>
      </c>
      <c r="F241" s="1" t="str">
        <f>_xlfn.CONCAT(LEFT(Table1[[#This Row],[Gender]],1),Table1[[#This Row],[Age]])</f>
        <v>M45</v>
      </c>
      <c r="G241" s="1" t="s">
        <v>19</v>
      </c>
      <c r="H241" s="1">
        <f>LEN(Table1[[#This Row],[Chest_Pain_Type]])</f>
        <v>14</v>
      </c>
      <c r="I241" s="1">
        <v>177</v>
      </c>
      <c r="J241" s="1" t="str" cm="1">
        <f t="array" ref="J24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41" s="1">
        <v>167</v>
      </c>
      <c r="L241" s="1" t="s">
        <v>16</v>
      </c>
      <c r="M241" s="1" t="str">
        <f>IF(Table1[[#This Row],[Fasting_Blood_Sugar]]="Yes","Diabetic Risk","Normal")</f>
        <v>Diabetic Risk</v>
      </c>
      <c r="N241" s="1" t="s">
        <v>27</v>
      </c>
      <c r="O241" s="1">
        <v>154</v>
      </c>
      <c r="P241" s="1" t="s">
        <v>16</v>
      </c>
      <c r="Q241" s="4" t="s">
        <v>16</v>
      </c>
      <c r="R241" s="1" t="str" cm="1">
        <f t="array" ref="R24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41" s="1">
        <f>IFERROR(Table1[[#This Row],[Cholesterol]]/Table1[[#This Row],[Max_Heart_Rate]],"")</f>
        <v>1.0844155844155845</v>
      </c>
    </row>
    <row r="242" spans="1:19">
      <c r="A242" s="3" t="s">
        <v>262</v>
      </c>
      <c r="B242" s="3" t="str">
        <f>RIGHT(Table1[[#This Row],[Patient_ID]],4)</f>
        <v>1240</v>
      </c>
      <c r="C242" s="1">
        <v>66</v>
      </c>
      <c r="D242" s="1" t="str">
        <f>VLOOKUP(Table1[[#This Row],[Age]],'Lookup &amp; Reference'!$G$2:$H$5,2,1)</f>
        <v>High</v>
      </c>
      <c r="E242" s="1" t="s">
        <v>18</v>
      </c>
      <c r="F242" s="1" t="str">
        <f>_xlfn.CONCAT(LEFT(Table1[[#This Row],[Gender]],1),Table1[[#This Row],[Age]])</f>
        <v>M66</v>
      </c>
      <c r="G242" s="1" t="s">
        <v>13</v>
      </c>
      <c r="H242" s="1">
        <f>LEN(Table1[[#This Row],[Chest_Pain_Type]])</f>
        <v>11</v>
      </c>
      <c r="I242" s="1">
        <v>108</v>
      </c>
      <c r="J242" s="1" t="str" cm="1">
        <f t="array" ref="J24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42" s="1">
        <v>313</v>
      </c>
      <c r="L242" s="1" t="s">
        <v>14</v>
      </c>
      <c r="M242" s="1" t="str">
        <f>IF(Table1[[#This Row],[Fasting_Blood_Sugar]]="Yes","Diabetic Risk","Normal")</f>
        <v>Normal</v>
      </c>
      <c r="N242" s="1" t="s">
        <v>20</v>
      </c>
      <c r="O242" s="1">
        <v>125</v>
      </c>
      <c r="P242" s="1" t="s">
        <v>16</v>
      </c>
      <c r="Q242" s="4" t="s">
        <v>16</v>
      </c>
      <c r="R242" s="1" t="str" cm="1">
        <f t="array" ref="R24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42" s="1">
        <f>IFERROR(Table1[[#This Row],[Cholesterol]]/Table1[[#This Row],[Max_Heart_Rate]],"")</f>
        <v>2.504</v>
      </c>
    </row>
    <row r="243" spans="1:19">
      <c r="A243" s="3" t="s">
        <v>263</v>
      </c>
      <c r="B243" s="3" t="str">
        <f>RIGHT(Table1[[#This Row],[Patient_ID]],4)</f>
        <v>1241</v>
      </c>
      <c r="C243" s="1">
        <v>52</v>
      </c>
      <c r="D243" s="1" t="str">
        <f>VLOOKUP(Table1[[#This Row],[Age]],'Lookup &amp; Reference'!$G$2:$H$5,2,1)</f>
        <v>Medium</v>
      </c>
      <c r="E243" s="1" t="s">
        <v>18</v>
      </c>
      <c r="F243" s="1" t="str">
        <f>_xlfn.CONCAT(LEFT(Table1[[#This Row],[Gender]],1),Table1[[#This Row],[Age]])</f>
        <v>M52</v>
      </c>
      <c r="G243" s="1" t="s">
        <v>22</v>
      </c>
      <c r="H243" s="1">
        <f>LEN(Table1[[#This Row],[Chest_Pain_Type]])</f>
        <v>15</v>
      </c>
      <c r="I243" s="1">
        <v>169</v>
      </c>
      <c r="J243" s="1" t="str" cm="1">
        <f t="array" ref="J24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43" s="1">
        <v>317</v>
      </c>
      <c r="L243" s="1" t="s">
        <v>14</v>
      </c>
      <c r="M243" s="1" t="str">
        <f>IF(Table1[[#This Row],[Fasting_Blood_Sugar]]="Yes","Diabetic Risk","Normal")</f>
        <v>Normal</v>
      </c>
      <c r="N243" s="1" t="s">
        <v>27</v>
      </c>
      <c r="O243" s="1">
        <v>114</v>
      </c>
      <c r="P243" s="1" t="s">
        <v>16</v>
      </c>
      <c r="Q243" s="4" t="s">
        <v>16</v>
      </c>
      <c r="R243" s="1" t="str" cm="1">
        <f t="array" ref="R24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43" s="1">
        <f>IFERROR(Table1[[#This Row],[Cholesterol]]/Table1[[#This Row],[Max_Heart_Rate]],"")</f>
        <v>2.7807017543859649</v>
      </c>
    </row>
    <row r="244" spans="1:19">
      <c r="A244" s="3" t="s">
        <v>264</v>
      </c>
      <c r="B244" s="3" t="str">
        <f>RIGHT(Table1[[#This Row],[Patient_ID]],4)</f>
        <v>1242</v>
      </c>
      <c r="C244" s="1">
        <v>33</v>
      </c>
      <c r="D244" s="1" t="str">
        <f>VLOOKUP(Table1[[#This Row],[Age]],'Lookup &amp; Reference'!$G$2:$H$5,2,1)</f>
        <v>Low</v>
      </c>
      <c r="E244" s="1" t="s">
        <v>18</v>
      </c>
      <c r="F244" s="1" t="str">
        <f>_xlfn.CONCAT(LEFT(Table1[[#This Row],[Gender]],1),Table1[[#This Row],[Age]])</f>
        <v>M33</v>
      </c>
      <c r="G244" s="1" t="s">
        <v>13</v>
      </c>
      <c r="H244" s="1">
        <f>LEN(Table1[[#This Row],[Chest_Pain_Type]])</f>
        <v>11</v>
      </c>
      <c r="I244" s="1">
        <v>129</v>
      </c>
      <c r="J244" s="1" t="str" cm="1">
        <f t="array" ref="J24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44" s="1">
        <v>275</v>
      </c>
      <c r="L244" s="1" t="s">
        <v>14</v>
      </c>
      <c r="M244" s="1" t="str">
        <f>IF(Table1[[#This Row],[Fasting_Blood_Sugar]]="Yes","Diabetic Risk","Normal")</f>
        <v>Normal</v>
      </c>
      <c r="N244" s="1" t="s">
        <v>27</v>
      </c>
      <c r="O244" s="1">
        <v>126</v>
      </c>
      <c r="P244" s="1" t="s">
        <v>16</v>
      </c>
      <c r="Q244" s="4" t="s">
        <v>16</v>
      </c>
      <c r="R244" s="1" t="str" cm="1">
        <f t="array" ref="R24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44" s="1">
        <f>IFERROR(Table1[[#This Row],[Cholesterol]]/Table1[[#This Row],[Max_Heart_Rate]],"")</f>
        <v>2.1825396825396823</v>
      </c>
    </row>
    <row r="245" spans="1:19">
      <c r="A245" s="3" t="s">
        <v>265</v>
      </c>
      <c r="B245" s="3" t="str">
        <f>RIGHT(Table1[[#This Row],[Patient_ID]],4)</f>
        <v>1243</v>
      </c>
      <c r="C245" s="1">
        <v>62</v>
      </c>
      <c r="D245" s="1" t="str">
        <f>VLOOKUP(Table1[[#This Row],[Age]],'Lookup &amp; Reference'!$G$2:$H$5,2,1)</f>
        <v>High</v>
      </c>
      <c r="E245" s="1" t="s">
        <v>12</v>
      </c>
      <c r="F245" s="1" t="str">
        <f>_xlfn.CONCAT(LEFT(Table1[[#This Row],[Gender]],1),Table1[[#This Row],[Age]])</f>
        <v>F62</v>
      </c>
      <c r="G245" s="1" t="s">
        <v>13</v>
      </c>
      <c r="H245" s="1">
        <f>LEN(Table1[[#This Row],[Chest_Pain_Type]])</f>
        <v>11</v>
      </c>
      <c r="I245" s="1">
        <v>181</v>
      </c>
      <c r="J245" s="1" t="str" cm="1">
        <f t="array" ref="J24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45" s="1">
        <v>236</v>
      </c>
      <c r="L245" s="1" t="s">
        <v>16</v>
      </c>
      <c r="M245" s="1" t="str">
        <f>IF(Table1[[#This Row],[Fasting_Blood_Sugar]]="Yes","Diabetic Risk","Normal")</f>
        <v>Diabetic Risk</v>
      </c>
      <c r="N245" s="1" t="s">
        <v>27</v>
      </c>
      <c r="O245" s="1">
        <v>90</v>
      </c>
      <c r="P245" s="1" t="s">
        <v>14</v>
      </c>
      <c r="Q245" s="4" t="s">
        <v>14</v>
      </c>
      <c r="R245" s="1" t="str" cm="1">
        <f t="array" ref="R24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45" s="1">
        <f>IFERROR(Table1[[#This Row],[Cholesterol]]/Table1[[#This Row],[Max_Heart_Rate]],"")</f>
        <v>2.6222222222222222</v>
      </c>
    </row>
    <row r="246" spans="1:19">
      <c r="A246" s="3" t="s">
        <v>266</v>
      </c>
      <c r="B246" s="3" t="str">
        <f>RIGHT(Table1[[#This Row],[Patient_ID]],4)</f>
        <v>1244</v>
      </c>
      <c r="C246" s="1">
        <v>34</v>
      </c>
      <c r="D246" s="1" t="str">
        <f>VLOOKUP(Table1[[#This Row],[Age]],'Lookup &amp; Reference'!$G$2:$H$5,2,1)</f>
        <v>Low</v>
      </c>
      <c r="E246" s="1" t="s">
        <v>18</v>
      </c>
      <c r="F246" s="1" t="str">
        <f>_xlfn.CONCAT(LEFT(Table1[[#This Row],[Gender]],1),Table1[[#This Row],[Age]])</f>
        <v>M34</v>
      </c>
      <c r="G246" s="1" t="s">
        <v>25</v>
      </c>
      <c r="H246" s="1">
        <f>LEN(Table1[[#This Row],[Chest_Pain_Type]])</f>
        <v>12</v>
      </c>
      <c r="I246" s="1">
        <v>186</v>
      </c>
      <c r="J246" s="1" t="str" cm="1">
        <f t="array" ref="J24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46" s="1">
        <v>340</v>
      </c>
      <c r="L246" s="1" t="s">
        <v>16</v>
      </c>
      <c r="M246" s="1" t="str">
        <f>IF(Table1[[#This Row],[Fasting_Blood_Sugar]]="Yes","Diabetic Risk","Normal")</f>
        <v>Diabetic Risk</v>
      </c>
      <c r="N246" s="1" t="s">
        <v>15</v>
      </c>
      <c r="O246" s="1">
        <v>104</v>
      </c>
      <c r="P246" s="1" t="s">
        <v>14</v>
      </c>
      <c r="Q246" s="4" t="s">
        <v>14</v>
      </c>
      <c r="R246" s="1" t="str" cm="1">
        <f t="array" ref="R24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46" s="1">
        <f>IFERROR(Table1[[#This Row],[Cholesterol]]/Table1[[#This Row],[Max_Heart_Rate]],"")</f>
        <v>3.2692307692307692</v>
      </c>
    </row>
    <row r="247" spans="1:19">
      <c r="A247" s="3" t="s">
        <v>267</v>
      </c>
      <c r="B247" s="3" t="str">
        <f>RIGHT(Table1[[#This Row],[Patient_ID]],4)</f>
        <v>1245</v>
      </c>
      <c r="C247" s="1">
        <v>50</v>
      </c>
      <c r="D247" s="1" t="str">
        <f>VLOOKUP(Table1[[#This Row],[Age]],'Lookup &amp; Reference'!$G$2:$H$5,2,1)</f>
        <v>Medium</v>
      </c>
      <c r="E247" s="1" t="s">
        <v>12</v>
      </c>
      <c r="F247" s="1" t="str">
        <f>_xlfn.CONCAT(LEFT(Table1[[#This Row],[Gender]],1),Table1[[#This Row],[Age]])</f>
        <v>F50</v>
      </c>
      <c r="G247" s="1" t="s">
        <v>13</v>
      </c>
      <c r="H247" s="1">
        <f>LEN(Table1[[#This Row],[Chest_Pain_Type]])</f>
        <v>11</v>
      </c>
      <c r="I247" s="1">
        <v>148</v>
      </c>
      <c r="J247" s="1" t="str" cm="1">
        <f t="array" ref="J24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47" s="1">
        <v>273</v>
      </c>
      <c r="L247" s="1" t="s">
        <v>14</v>
      </c>
      <c r="M247" s="1" t="str">
        <f>IF(Table1[[#This Row],[Fasting_Blood_Sugar]]="Yes","Diabetic Risk","Normal")</f>
        <v>Normal</v>
      </c>
      <c r="N247" s="1" t="s">
        <v>15</v>
      </c>
      <c r="O247" s="1">
        <v>126</v>
      </c>
      <c r="P247" s="1" t="s">
        <v>16</v>
      </c>
      <c r="Q247" s="4" t="s">
        <v>16</v>
      </c>
      <c r="R247" s="1" t="str" cm="1">
        <f t="array" ref="R24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47" s="1">
        <f>IFERROR(Table1[[#This Row],[Cholesterol]]/Table1[[#This Row],[Max_Heart_Rate]],"")</f>
        <v>2.1666666666666665</v>
      </c>
    </row>
    <row r="248" spans="1:19">
      <c r="A248" s="3" t="s">
        <v>268</v>
      </c>
      <c r="B248" s="3" t="str">
        <f>RIGHT(Table1[[#This Row],[Patient_ID]],4)</f>
        <v>1246</v>
      </c>
      <c r="C248" s="1">
        <v>39</v>
      </c>
      <c r="D248" s="1" t="str">
        <f>VLOOKUP(Table1[[#This Row],[Age]],'Lookup &amp; Reference'!$G$2:$H$5,2,1)</f>
        <v>Low</v>
      </c>
      <c r="E248" s="1" t="s">
        <v>18</v>
      </c>
      <c r="F248" s="1" t="str">
        <f>_xlfn.CONCAT(LEFT(Table1[[#This Row],[Gender]],1),Table1[[#This Row],[Age]])</f>
        <v>M39</v>
      </c>
      <c r="G248" s="1" t="s">
        <v>19</v>
      </c>
      <c r="H248" s="1">
        <f>LEN(Table1[[#This Row],[Chest_Pain_Type]])</f>
        <v>14</v>
      </c>
      <c r="I248" s="1">
        <v>148</v>
      </c>
      <c r="J248" s="1" t="str" cm="1">
        <f t="array" ref="J24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48" s="1">
        <v>272</v>
      </c>
      <c r="L248" s="1" t="s">
        <v>16</v>
      </c>
      <c r="M248" s="1" t="str">
        <f>IF(Table1[[#This Row],[Fasting_Blood_Sugar]]="Yes","Diabetic Risk","Normal")</f>
        <v>Diabetic Risk</v>
      </c>
      <c r="N248" s="1" t="s">
        <v>20</v>
      </c>
      <c r="O248" s="1">
        <v>102</v>
      </c>
      <c r="P248" s="1" t="s">
        <v>14</v>
      </c>
      <c r="Q248" s="4" t="s">
        <v>14</v>
      </c>
      <c r="R248" s="1" t="str" cm="1">
        <f t="array" ref="R24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48" s="1">
        <f>IFERROR(Table1[[#This Row],[Cholesterol]]/Table1[[#This Row],[Max_Heart_Rate]],"")</f>
        <v>2.6666666666666665</v>
      </c>
    </row>
    <row r="249" spans="1:19">
      <c r="A249" s="3" t="s">
        <v>269</v>
      </c>
      <c r="B249" s="3" t="str">
        <f>RIGHT(Table1[[#This Row],[Patient_ID]],4)</f>
        <v>1247</v>
      </c>
      <c r="C249" s="1">
        <v>76</v>
      </c>
      <c r="D249" s="1" t="str">
        <f>VLOOKUP(Table1[[#This Row],[Age]],'Lookup &amp; Reference'!$G$2:$H$5,2,1)</f>
        <v>High</v>
      </c>
      <c r="E249" s="1" t="s">
        <v>12</v>
      </c>
      <c r="F249" s="1" t="str">
        <f>_xlfn.CONCAT(LEFT(Table1[[#This Row],[Gender]],1),Table1[[#This Row],[Age]])</f>
        <v>F76</v>
      </c>
      <c r="G249" s="1" t="s">
        <v>13</v>
      </c>
      <c r="H249" s="1">
        <f>LEN(Table1[[#This Row],[Chest_Pain_Type]])</f>
        <v>11</v>
      </c>
      <c r="I249" s="1">
        <v>137</v>
      </c>
      <c r="J249" s="1" t="str" cm="1">
        <f t="array" ref="J24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49" s="1">
        <v>131</v>
      </c>
      <c r="L249" s="1" t="s">
        <v>14</v>
      </c>
      <c r="M249" s="1" t="str">
        <f>IF(Table1[[#This Row],[Fasting_Blood_Sugar]]="Yes","Diabetic Risk","Normal")</f>
        <v>Normal</v>
      </c>
      <c r="N249" s="1" t="s">
        <v>20</v>
      </c>
      <c r="O249" s="1">
        <v>193</v>
      </c>
      <c r="P249" s="1" t="s">
        <v>16</v>
      </c>
      <c r="Q249" s="4" t="s">
        <v>16</v>
      </c>
      <c r="R249" s="1" t="str" cm="1">
        <f t="array" ref="R24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49" s="1">
        <f>IFERROR(Table1[[#This Row],[Cholesterol]]/Table1[[#This Row],[Max_Heart_Rate]],"")</f>
        <v>0.67875647668393779</v>
      </c>
    </row>
    <row r="250" spans="1:19">
      <c r="A250" s="3" t="s">
        <v>270</v>
      </c>
      <c r="B250" s="3" t="str">
        <f>RIGHT(Table1[[#This Row],[Patient_ID]],4)</f>
        <v>1248</v>
      </c>
      <c r="C250" s="1">
        <v>44</v>
      </c>
      <c r="D250" s="1" t="str">
        <f>VLOOKUP(Table1[[#This Row],[Age]],'Lookup &amp; Reference'!$G$2:$H$5,2,1)</f>
        <v>Low</v>
      </c>
      <c r="E250" s="1" t="s">
        <v>12</v>
      </c>
      <c r="F250" s="1" t="str">
        <f>_xlfn.CONCAT(LEFT(Table1[[#This Row],[Gender]],1),Table1[[#This Row],[Age]])</f>
        <v>F44</v>
      </c>
      <c r="G250" s="1" t="s">
        <v>19</v>
      </c>
      <c r="H250" s="1">
        <f>LEN(Table1[[#This Row],[Chest_Pain_Type]])</f>
        <v>14</v>
      </c>
      <c r="I250" s="1">
        <v>130</v>
      </c>
      <c r="J250" s="1" t="str" cm="1">
        <f t="array" ref="J25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50" s="1">
        <v>252</v>
      </c>
      <c r="L250" s="1" t="s">
        <v>16</v>
      </c>
      <c r="M250" s="1" t="str">
        <f>IF(Table1[[#This Row],[Fasting_Blood_Sugar]]="Yes","Diabetic Risk","Normal")</f>
        <v>Diabetic Risk</v>
      </c>
      <c r="N250" s="1" t="s">
        <v>27</v>
      </c>
      <c r="O250" s="1">
        <v>97</v>
      </c>
      <c r="P250" s="1" t="s">
        <v>14</v>
      </c>
      <c r="Q250" s="4" t="s">
        <v>16</v>
      </c>
      <c r="R250" s="1" t="str" cm="1">
        <f t="array" ref="R25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0" s="1">
        <f>IFERROR(Table1[[#This Row],[Cholesterol]]/Table1[[#This Row],[Max_Heart_Rate]],"")</f>
        <v>2.597938144329897</v>
      </c>
    </row>
    <row r="251" spans="1:19">
      <c r="A251" s="3" t="s">
        <v>271</v>
      </c>
      <c r="B251" s="3" t="str">
        <f>RIGHT(Table1[[#This Row],[Patient_ID]],4)</f>
        <v>1249</v>
      </c>
      <c r="C251" s="1">
        <v>61</v>
      </c>
      <c r="D251" s="1" t="str">
        <f>VLOOKUP(Table1[[#This Row],[Age]],'Lookup &amp; Reference'!$G$2:$H$5,2,1)</f>
        <v>High</v>
      </c>
      <c r="E251" s="1" t="s">
        <v>18</v>
      </c>
      <c r="F251" s="1" t="str">
        <f>_xlfn.CONCAT(LEFT(Table1[[#This Row],[Gender]],1),Table1[[#This Row],[Age]])</f>
        <v>M61</v>
      </c>
      <c r="G251" s="1" t="s">
        <v>19</v>
      </c>
      <c r="H251" s="1">
        <f>LEN(Table1[[#This Row],[Chest_Pain_Type]])</f>
        <v>14</v>
      </c>
      <c r="I251" s="1">
        <v>102</v>
      </c>
      <c r="J251" s="1" t="str" cm="1">
        <f t="array" ref="J25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51" s="1">
        <v>345</v>
      </c>
      <c r="L251" s="1" t="s">
        <v>16</v>
      </c>
      <c r="M251" s="1" t="str">
        <f>IF(Table1[[#This Row],[Fasting_Blood_Sugar]]="Yes","Diabetic Risk","Normal")</f>
        <v>Diabetic Risk</v>
      </c>
      <c r="N251" s="1" t="s">
        <v>27</v>
      </c>
      <c r="O251" s="1">
        <v>94</v>
      </c>
      <c r="P251" s="1" t="s">
        <v>16</v>
      </c>
      <c r="Q251" s="4" t="s">
        <v>14</v>
      </c>
      <c r="R251" s="1" t="str" cm="1">
        <f t="array" ref="R25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1" s="1">
        <f>IFERROR(Table1[[#This Row],[Cholesterol]]/Table1[[#This Row],[Max_Heart_Rate]],"")</f>
        <v>3.6702127659574466</v>
      </c>
    </row>
    <row r="252" spans="1:19">
      <c r="A252" s="3" t="s">
        <v>272</v>
      </c>
      <c r="B252" s="3" t="str">
        <f>RIGHT(Table1[[#This Row],[Patient_ID]],4)</f>
        <v>1250</v>
      </c>
      <c r="C252" s="1">
        <v>37</v>
      </c>
      <c r="D252" s="1" t="str">
        <f>VLOOKUP(Table1[[#This Row],[Age]],'Lookup &amp; Reference'!$G$2:$H$5,2,1)</f>
        <v>Low</v>
      </c>
      <c r="E252" s="1" t="s">
        <v>18</v>
      </c>
      <c r="F252" s="1" t="str">
        <f>_xlfn.CONCAT(LEFT(Table1[[#This Row],[Gender]],1),Table1[[#This Row],[Age]])</f>
        <v>M37</v>
      </c>
      <c r="G252" s="1" t="s">
        <v>19</v>
      </c>
      <c r="H252" s="1">
        <f>LEN(Table1[[#This Row],[Chest_Pain_Type]])</f>
        <v>14</v>
      </c>
      <c r="I252" s="1">
        <v>134</v>
      </c>
      <c r="J252" s="1" t="str" cm="1">
        <f t="array" ref="J25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52" s="1">
        <v>167</v>
      </c>
      <c r="L252" s="1" t="s">
        <v>14</v>
      </c>
      <c r="M252" s="1" t="str">
        <f>IF(Table1[[#This Row],[Fasting_Blood_Sugar]]="Yes","Diabetic Risk","Normal")</f>
        <v>Normal</v>
      </c>
      <c r="N252" s="1" t="s">
        <v>27</v>
      </c>
      <c r="O252" s="1">
        <v>149</v>
      </c>
      <c r="P252" s="1" t="s">
        <v>14</v>
      </c>
      <c r="Q252" s="4" t="s">
        <v>14</v>
      </c>
      <c r="R252" s="1" t="str" cm="1">
        <f t="array" ref="R25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2" s="1">
        <f>IFERROR(Table1[[#This Row],[Cholesterol]]/Table1[[#This Row],[Max_Heart_Rate]],"")</f>
        <v>1.1208053691275168</v>
      </c>
    </row>
    <row r="253" spans="1:19">
      <c r="A253" s="3" t="s">
        <v>273</v>
      </c>
      <c r="B253" s="3" t="str">
        <f>RIGHT(Table1[[#This Row],[Patient_ID]],4)</f>
        <v>1251</v>
      </c>
      <c r="C253" s="1">
        <v>34</v>
      </c>
      <c r="D253" s="1" t="str">
        <f>VLOOKUP(Table1[[#This Row],[Age]],'Lookup &amp; Reference'!$G$2:$H$5,2,1)</f>
        <v>Low</v>
      </c>
      <c r="E253" s="1" t="s">
        <v>18</v>
      </c>
      <c r="F253" s="1" t="str">
        <f>_xlfn.CONCAT(LEFT(Table1[[#This Row],[Gender]],1),Table1[[#This Row],[Age]])</f>
        <v>M34</v>
      </c>
      <c r="G253" s="1" t="s">
        <v>22</v>
      </c>
      <c r="H253" s="1">
        <f>LEN(Table1[[#This Row],[Chest_Pain_Type]])</f>
        <v>15</v>
      </c>
      <c r="I253" s="1">
        <v>178</v>
      </c>
      <c r="J253" s="1" t="str" cm="1">
        <f t="array" ref="J25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53" s="1">
        <v>156</v>
      </c>
      <c r="L253" s="1" t="s">
        <v>14</v>
      </c>
      <c r="M253" s="1" t="str">
        <f>IF(Table1[[#This Row],[Fasting_Blood_Sugar]]="Yes","Diabetic Risk","Normal")</f>
        <v>Normal</v>
      </c>
      <c r="N253" s="1" t="s">
        <v>20</v>
      </c>
      <c r="O253" s="1">
        <v>162</v>
      </c>
      <c r="P253" s="1" t="s">
        <v>16</v>
      </c>
      <c r="Q253" s="4" t="s">
        <v>16</v>
      </c>
      <c r="R253" s="1" t="str" cm="1">
        <f t="array" ref="R25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3" s="1">
        <f>IFERROR(Table1[[#This Row],[Cholesterol]]/Table1[[#This Row],[Max_Heart_Rate]],"")</f>
        <v>0.96296296296296291</v>
      </c>
    </row>
    <row r="254" spans="1:19">
      <c r="A254" s="3" t="s">
        <v>274</v>
      </c>
      <c r="B254" s="3" t="str">
        <f>RIGHT(Table1[[#This Row],[Patient_ID]],4)</f>
        <v>1252</v>
      </c>
      <c r="C254" s="1">
        <v>44</v>
      </c>
      <c r="D254" s="1" t="str">
        <f>VLOOKUP(Table1[[#This Row],[Age]],'Lookup &amp; Reference'!$G$2:$H$5,2,1)</f>
        <v>Low</v>
      </c>
      <c r="E254" s="1" t="s">
        <v>18</v>
      </c>
      <c r="F254" s="1" t="str">
        <f>_xlfn.CONCAT(LEFT(Table1[[#This Row],[Gender]],1),Table1[[#This Row],[Age]])</f>
        <v>M44</v>
      </c>
      <c r="G254" s="1" t="s">
        <v>25</v>
      </c>
      <c r="H254" s="1">
        <f>LEN(Table1[[#This Row],[Chest_Pain_Type]])</f>
        <v>12</v>
      </c>
      <c r="I254" s="1">
        <v>142</v>
      </c>
      <c r="J254" s="1" t="str" cm="1">
        <f t="array" ref="J25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54" s="1">
        <v>326</v>
      </c>
      <c r="L254" s="1" t="s">
        <v>14</v>
      </c>
      <c r="M254" s="1" t="str">
        <f>IF(Table1[[#This Row],[Fasting_Blood_Sugar]]="Yes","Diabetic Risk","Normal")</f>
        <v>Normal</v>
      </c>
      <c r="N254" s="1" t="s">
        <v>15</v>
      </c>
      <c r="O254" s="1">
        <v>90</v>
      </c>
      <c r="P254" s="1" t="s">
        <v>16</v>
      </c>
      <c r="Q254" s="4" t="s">
        <v>16</v>
      </c>
      <c r="R254" s="1" t="str" cm="1">
        <f t="array" ref="R25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4" s="1">
        <f>IFERROR(Table1[[#This Row],[Cholesterol]]/Table1[[#This Row],[Max_Heart_Rate]],"")</f>
        <v>3.6222222222222222</v>
      </c>
    </row>
    <row r="255" spans="1:19">
      <c r="A255" s="3" t="s">
        <v>275</v>
      </c>
      <c r="B255" s="3" t="str">
        <f>RIGHT(Table1[[#This Row],[Patient_ID]],4)</f>
        <v>1253</v>
      </c>
      <c r="C255" s="1">
        <v>57</v>
      </c>
      <c r="D255" s="1" t="str">
        <f>VLOOKUP(Table1[[#This Row],[Age]],'Lookup &amp; Reference'!$G$2:$H$5,2,1)</f>
        <v>Medium</v>
      </c>
      <c r="E255" s="1" t="s">
        <v>12</v>
      </c>
      <c r="F255" s="1" t="str">
        <f>_xlfn.CONCAT(LEFT(Table1[[#This Row],[Gender]],1),Table1[[#This Row],[Age]])</f>
        <v>F57</v>
      </c>
      <c r="G255" s="1" t="s">
        <v>19</v>
      </c>
      <c r="H255" s="1">
        <f>LEN(Table1[[#This Row],[Chest_Pain_Type]])</f>
        <v>14</v>
      </c>
      <c r="I255" s="1">
        <v>131</v>
      </c>
      <c r="J255" s="1" t="str" cm="1">
        <f t="array" ref="J25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55" s="1">
        <v>163</v>
      </c>
      <c r="L255" s="1" t="s">
        <v>14</v>
      </c>
      <c r="M255" s="1" t="str">
        <f>IF(Table1[[#This Row],[Fasting_Blood_Sugar]]="Yes","Diabetic Risk","Normal")</f>
        <v>Normal</v>
      </c>
      <c r="N255" s="1" t="s">
        <v>15</v>
      </c>
      <c r="O255" s="1">
        <v>125</v>
      </c>
      <c r="P255" s="1" t="s">
        <v>14</v>
      </c>
      <c r="Q255" s="4" t="s">
        <v>14</v>
      </c>
      <c r="R255" s="1" t="str" cm="1">
        <f t="array" ref="R25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5" s="1">
        <f>IFERROR(Table1[[#This Row],[Cholesterol]]/Table1[[#This Row],[Max_Heart_Rate]],"")</f>
        <v>1.304</v>
      </c>
    </row>
    <row r="256" spans="1:19">
      <c r="A256" s="3" t="s">
        <v>276</v>
      </c>
      <c r="B256" s="3" t="str">
        <f>RIGHT(Table1[[#This Row],[Patient_ID]],4)</f>
        <v>1254</v>
      </c>
      <c r="C256" s="1">
        <v>31</v>
      </c>
      <c r="D256" s="1" t="str">
        <f>VLOOKUP(Table1[[#This Row],[Age]],'Lookup &amp; Reference'!$G$2:$H$5,2,1)</f>
        <v>Low</v>
      </c>
      <c r="E256" s="1" t="s">
        <v>18</v>
      </c>
      <c r="F256" s="1" t="str">
        <f>_xlfn.CONCAT(LEFT(Table1[[#This Row],[Gender]],1),Table1[[#This Row],[Age]])</f>
        <v>M31</v>
      </c>
      <c r="G256" s="1" t="s">
        <v>19</v>
      </c>
      <c r="H256" s="1">
        <f>LEN(Table1[[#This Row],[Chest_Pain_Type]])</f>
        <v>14</v>
      </c>
      <c r="I256" s="1">
        <v>189</v>
      </c>
      <c r="J256" s="1" t="str" cm="1">
        <f t="array" ref="J25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56" s="1">
        <v>347</v>
      </c>
      <c r="L256" s="1" t="s">
        <v>16</v>
      </c>
      <c r="M256" s="1" t="str">
        <f>IF(Table1[[#This Row],[Fasting_Blood_Sugar]]="Yes","Diabetic Risk","Normal")</f>
        <v>Diabetic Risk</v>
      </c>
      <c r="N256" s="1" t="s">
        <v>27</v>
      </c>
      <c r="O256" s="1">
        <v>124</v>
      </c>
      <c r="P256" s="1" t="s">
        <v>14</v>
      </c>
      <c r="Q256" s="4" t="s">
        <v>16</v>
      </c>
      <c r="R256" s="1" t="str" cm="1">
        <f t="array" ref="R25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6" s="1">
        <f>IFERROR(Table1[[#This Row],[Cholesterol]]/Table1[[#This Row],[Max_Heart_Rate]],"")</f>
        <v>2.7983870967741935</v>
      </c>
    </row>
    <row r="257" spans="1:19">
      <c r="A257" s="3" t="s">
        <v>277</v>
      </c>
      <c r="B257" s="3" t="str">
        <f>RIGHT(Table1[[#This Row],[Patient_ID]],4)</f>
        <v>1255</v>
      </c>
      <c r="C257" s="1">
        <v>48</v>
      </c>
      <c r="D257" s="1" t="str">
        <f>VLOOKUP(Table1[[#This Row],[Age]],'Lookup &amp; Reference'!$G$2:$H$5,2,1)</f>
        <v>Medium</v>
      </c>
      <c r="E257" s="1" t="s">
        <v>18</v>
      </c>
      <c r="F257" s="1" t="str">
        <f>_xlfn.CONCAT(LEFT(Table1[[#This Row],[Gender]],1),Table1[[#This Row],[Age]])</f>
        <v>M48</v>
      </c>
      <c r="G257" s="1" t="s">
        <v>22</v>
      </c>
      <c r="H257" s="1">
        <f>LEN(Table1[[#This Row],[Chest_Pain_Type]])</f>
        <v>15</v>
      </c>
      <c r="I257" s="1">
        <v>152</v>
      </c>
      <c r="J257" s="1" t="str" cm="1">
        <f t="array" ref="J25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57" s="1">
        <v>134</v>
      </c>
      <c r="L257" s="1" t="s">
        <v>16</v>
      </c>
      <c r="M257" s="1" t="str">
        <f>IF(Table1[[#This Row],[Fasting_Blood_Sugar]]="Yes","Diabetic Risk","Normal")</f>
        <v>Diabetic Risk</v>
      </c>
      <c r="N257" s="1" t="s">
        <v>27</v>
      </c>
      <c r="O257" s="1">
        <v>155</v>
      </c>
      <c r="P257" s="1" t="s">
        <v>16</v>
      </c>
      <c r="Q257" s="4" t="s">
        <v>14</v>
      </c>
      <c r="R257" s="1" t="str" cm="1">
        <f t="array" ref="R25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57" s="1">
        <f>IFERROR(Table1[[#This Row],[Cholesterol]]/Table1[[#This Row],[Max_Heart_Rate]],"")</f>
        <v>0.86451612903225805</v>
      </c>
    </row>
    <row r="258" spans="1:19">
      <c r="A258" s="3" t="s">
        <v>278</v>
      </c>
      <c r="B258" s="3" t="str">
        <f>RIGHT(Table1[[#This Row],[Patient_ID]],4)</f>
        <v>1256</v>
      </c>
      <c r="C258" s="1">
        <v>64</v>
      </c>
      <c r="D258" s="1" t="str">
        <f>VLOOKUP(Table1[[#This Row],[Age]],'Lookup &amp; Reference'!$G$2:$H$5,2,1)</f>
        <v>High</v>
      </c>
      <c r="E258" s="1" t="s">
        <v>12</v>
      </c>
      <c r="F258" s="1" t="str">
        <f>_xlfn.CONCAT(LEFT(Table1[[#This Row],[Gender]],1),Table1[[#This Row],[Age]])</f>
        <v>F64</v>
      </c>
      <c r="G258" s="1" t="s">
        <v>19</v>
      </c>
      <c r="H258" s="1">
        <f>LEN(Table1[[#This Row],[Chest_Pain_Type]])</f>
        <v>14</v>
      </c>
      <c r="I258" s="1">
        <v>116</v>
      </c>
      <c r="J258" s="1" t="str" cm="1">
        <f t="array" ref="J25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58" s="1">
        <v>162</v>
      </c>
      <c r="L258" s="1" t="s">
        <v>16</v>
      </c>
      <c r="M258" s="1" t="str">
        <f>IF(Table1[[#This Row],[Fasting_Blood_Sugar]]="Yes","Diabetic Risk","Normal")</f>
        <v>Diabetic Risk</v>
      </c>
      <c r="N258" s="1" t="s">
        <v>27</v>
      </c>
      <c r="O258" s="1">
        <v>152</v>
      </c>
      <c r="P258" s="1" t="s">
        <v>14</v>
      </c>
      <c r="Q258" s="4" t="s">
        <v>16</v>
      </c>
      <c r="R258" s="1" t="str" cm="1">
        <f t="array" ref="R25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58" s="1">
        <f>IFERROR(Table1[[#This Row],[Cholesterol]]/Table1[[#This Row],[Max_Heart_Rate]],"")</f>
        <v>1.0657894736842106</v>
      </c>
    </row>
    <row r="259" spans="1:19">
      <c r="A259" s="3" t="s">
        <v>279</v>
      </c>
      <c r="B259" s="3" t="str">
        <f>RIGHT(Table1[[#This Row],[Patient_ID]],4)</f>
        <v>1257</v>
      </c>
      <c r="C259" s="1">
        <v>47</v>
      </c>
      <c r="D259" s="1" t="str">
        <f>VLOOKUP(Table1[[#This Row],[Age]],'Lookup &amp; Reference'!$G$2:$H$5,2,1)</f>
        <v>Medium</v>
      </c>
      <c r="E259" s="1" t="s">
        <v>18</v>
      </c>
      <c r="F259" s="1" t="str">
        <f>_xlfn.CONCAT(LEFT(Table1[[#This Row],[Gender]],1),Table1[[#This Row],[Age]])</f>
        <v>M47</v>
      </c>
      <c r="G259" s="1" t="s">
        <v>13</v>
      </c>
      <c r="H259" s="1">
        <f>LEN(Table1[[#This Row],[Chest_Pain_Type]])</f>
        <v>11</v>
      </c>
      <c r="I259" s="1">
        <v>127</v>
      </c>
      <c r="J259" s="1" t="str" cm="1">
        <f t="array" ref="J25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59" s="1">
        <v>295</v>
      </c>
      <c r="L259" s="1" t="s">
        <v>14</v>
      </c>
      <c r="M259" s="1" t="str">
        <f>IF(Table1[[#This Row],[Fasting_Blood_Sugar]]="Yes","Diabetic Risk","Normal")</f>
        <v>Normal</v>
      </c>
      <c r="N259" s="1" t="s">
        <v>27</v>
      </c>
      <c r="O259" s="1">
        <v>193</v>
      </c>
      <c r="P259" s="1" t="s">
        <v>16</v>
      </c>
      <c r="Q259" s="4" t="s">
        <v>16</v>
      </c>
      <c r="R259" s="1" t="str" cm="1">
        <f t="array" ref="R25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59" s="1">
        <f>IFERROR(Table1[[#This Row],[Cholesterol]]/Table1[[#This Row],[Max_Heart_Rate]],"")</f>
        <v>1.528497409326425</v>
      </c>
    </row>
    <row r="260" spans="1:19">
      <c r="A260" s="3" t="s">
        <v>280</v>
      </c>
      <c r="B260" s="3" t="str">
        <f>RIGHT(Table1[[#This Row],[Patient_ID]],4)</f>
        <v>1258</v>
      </c>
      <c r="C260" s="1">
        <v>54</v>
      </c>
      <c r="D260" s="1" t="str">
        <f>VLOOKUP(Table1[[#This Row],[Age]],'Lookup &amp; Reference'!$G$2:$H$5,2,1)</f>
        <v>Medium</v>
      </c>
      <c r="E260" s="1" t="s">
        <v>18</v>
      </c>
      <c r="F260" s="1" t="str">
        <f>_xlfn.CONCAT(LEFT(Table1[[#This Row],[Gender]],1),Table1[[#This Row],[Age]])</f>
        <v>M54</v>
      </c>
      <c r="G260" s="1" t="s">
        <v>13</v>
      </c>
      <c r="H260" s="1">
        <f>LEN(Table1[[#This Row],[Chest_Pain_Type]])</f>
        <v>11</v>
      </c>
      <c r="I260" s="1">
        <v>149</v>
      </c>
      <c r="J260" s="1" t="str" cm="1">
        <f t="array" ref="J26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60" s="1">
        <v>206</v>
      </c>
      <c r="L260" s="1" t="s">
        <v>16</v>
      </c>
      <c r="M260" s="1" t="str">
        <f>IF(Table1[[#This Row],[Fasting_Blood_Sugar]]="Yes","Diabetic Risk","Normal")</f>
        <v>Diabetic Risk</v>
      </c>
      <c r="N260" s="1" t="s">
        <v>20</v>
      </c>
      <c r="O260" s="1">
        <v>112</v>
      </c>
      <c r="P260" s="1" t="s">
        <v>14</v>
      </c>
      <c r="Q260" s="4" t="s">
        <v>14</v>
      </c>
      <c r="R260" s="1" t="str" cm="1">
        <f t="array" ref="R26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0" s="1">
        <f>IFERROR(Table1[[#This Row],[Cholesterol]]/Table1[[#This Row],[Max_Heart_Rate]],"")</f>
        <v>1.8392857142857142</v>
      </c>
    </row>
    <row r="261" spans="1:19">
      <c r="A261" s="3" t="s">
        <v>281</v>
      </c>
      <c r="B261" s="3" t="str">
        <f>RIGHT(Table1[[#This Row],[Patient_ID]],4)</f>
        <v>1259</v>
      </c>
      <c r="C261" s="1">
        <v>31</v>
      </c>
      <c r="D261" s="1" t="str">
        <f>VLOOKUP(Table1[[#This Row],[Age]],'Lookup &amp; Reference'!$G$2:$H$5,2,1)</f>
        <v>Low</v>
      </c>
      <c r="E261" s="1" t="s">
        <v>18</v>
      </c>
      <c r="F261" s="1" t="str">
        <f>_xlfn.CONCAT(LEFT(Table1[[#This Row],[Gender]],1),Table1[[#This Row],[Age]])</f>
        <v>M31</v>
      </c>
      <c r="G261" s="1" t="s">
        <v>25</v>
      </c>
      <c r="H261" s="1">
        <f>LEN(Table1[[#This Row],[Chest_Pain_Type]])</f>
        <v>12</v>
      </c>
      <c r="I261" s="1">
        <v>96</v>
      </c>
      <c r="J261" s="1" t="str" cm="1">
        <f t="array" ref="J26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61" s="1">
        <v>189</v>
      </c>
      <c r="L261" s="1" t="s">
        <v>14</v>
      </c>
      <c r="M261" s="1" t="str">
        <f>IF(Table1[[#This Row],[Fasting_Blood_Sugar]]="Yes","Diabetic Risk","Normal")</f>
        <v>Normal</v>
      </c>
      <c r="N261" s="1" t="s">
        <v>15</v>
      </c>
      <c r="O261" s="1">
        <v>98</v>
      </c>
      <c r="P261" s="1" t="s">
        <v>14</v>
      </c>
      <c r="Q261" s="4" t="s">
        <v>14</v>
      </c>
      <c r="R261" s="1" t="str" cm="1">
        <f t="array" ref="R26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1" s="1">
        <f>IFERROR(Table1[[#This Row],[Cholesterol]]/Table1[[#This Row],[Max_Heart_Rate]],"")</f>
        <v>1.9285714285714286</v>
      </c>
    </row>
    <row r="262" spans="1:19">
      <c r="A262" s="3" t="s">
        <v>282</v>
      </c>
      <c r="B262" s="3" t="str">
        <f>RIGHT(Table1[[#This Row],[Patient_ID]],4)</f>
        <v>1260</v>
      </c>
      <c r="C262" s="1">
        <v>47</v>
      </c>
      <c r="D262" s="1" t="str">
        <f>VLOOKUP(Table1[[#This Row],[Age]],'Lookup &amp; Reference'!$G$2:$H$5,2,1)</f>
        <v>Medium</v>
      </c>
      <c r="E262" s="1" t="s">
        <v>18</v>
      </c>
      <c r="F262" s="1" t="str">
        <f>_xlfn.CONCAT(LEFT(Table1[[#This Row],[Gender]],1),Table1[[#This Row],[Age]])</f>
        <v>M47</v>
      </c>
      <c r="G262" s="1" t="s">
        <v>19</v>
      </c>
      <c r="H262" s="1">
        <f>LEN(Table1[[#This Row],[Chest_Pain_Type]])</f>
        <v>14</v>
      </c>
      <c r="I262" s="1">
        <v>94</v>
      </c>
      <c r="J262" s="1" t="str" cm="1">
        <f t="array" ref="J26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62" s="1">
        <v>165</v>
      </c>
      <c r="L262" s="1" t="s">
        <v>16</v>
      </c>
      <c r="M262" s="1" t="str">
        <f>IF(Table1[[#This Row],[Fasting_Blood_Sugar]]="Yes","Diabetic Risk","Normal")</f>
        <v>Diabetic Risk</v>
      </c>
      <c r="N262" s="1" t="s">
        <v>27</v>
      </c>
      <c r="O262" s="1">
        <v>123</v>
      </c>
      <c r="P262" s="1" t="s">
        <v>16</v>
      </c>
      <c r="Q262" s="4" t="s">
        <v>14</v>
      </c>
      <c r="R262" s="1" t="str" cm="1">
        <f t="array" ref="R26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2" s="1">
        <f>IFERROR(Table1[[#This Row],[Cholesterol]]/Table1[[#This Row],[Max_Heart_Rate]],"")</f>
        <v>1.3414634146341464</v>
      </c>
    </row>
    <row r="263" spans="1:19">
      <c r="A263" s="3" t="s">
        <v>283</v>
      </c>
      <c r="B263" s="3" t="str">
        <f>RIGHT(Table1[[#This Row],[Patient_ID]],4)</f>
        <v>1261</v>
      </c>
      <c r="C263" s="1">
        <v>48</v>
      </c>
      <c r="D263" s="1" t="str">
        <f>VLOOKUP(Table1[[#This Row],[Age]],'Lookup &amp; Reference'!$G$2:$H$5,2,1)</f>
        <v>Medium</v>
      </c>
      <c r="E263" s="1" t="s">
        <v>18</v>
      </c>
      <c r="F263" s="1" t="str">
        <f>_xlfn.CONCAT(LEFT(Table1[[#This Row],[Gender]],1),Table1[[#This Row],[Age]])</f>
        <v>M48</v>
      </c>
      <c r="G263" s="1" t="s">
        <v>22</v>
      </c>
      <c r="H263" s="1">
        <f>LEN(Table1[[#This Row],[Chest_Pain_Type]])</f>
        <v>15</v>
      </c>
      <c r="I263" s="1">
        <v>134</v>
      </c>
      <c r="J263" s="1" t="str" cm="1">
        <f t="array" ref="J26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63" s="1">
        <v>227</v>
      </c>
      <c r="L263" s="1" t="s">
        <v>14</v>
      </c>
      <c r="M263" s="1" t="str">
        <f>IF(Table1[[#This Row],[Fasting_Blood_Sugar]]="Yes","Diabetic Risk","Normal")</f>
        <v>Normal</v>
      </c>
      <c r="N263" s="1" t="s">
        <v>20</v>
      </c>
      <c r="O263" s="1">
        <v>135</v>
      </c>
      <c r="P263" s="1" t="s">
        <v>14</v>
      </c>
      <c r="Q263" s="4" t="s">
        <v>14</v>
      </c>
      <c r="R263" s="1" t="str" cm="1">
        <f t="array" ref="R26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3" s="1">
        <f>IFERROR(Table1[[#This Row],[Cholesterol]]/Table1[[#This Row],[Max_Heart_Rate]],"")</f>
        <v>1.6814814814814816</v>
      </c>
    </row>
    <row r="264" spans="1:19">
      <c r="A264" s="3" t="s">
        <v>284</v>
      </c>
      <c r="B264" s="3" t="str">
        <f>RIGHT(Table1[[#This Row],[Patient_ID]],4)</f>
        <v>1262</v>
      </c>
      <c r="C264" s="1">
        <v>60</v>
      </c>
      <c r="D264" s="1" t="str">
        <f>VLOOKUP(Table1[[#This Row],[Age]],'Lookup &amp; Reference'!$G$2:$H$5,2,1)</f>
        <v>High</v>
      </c>
      <c r="E264" s="1" t="s">
        <v>12</v>
      </c>
      <c r="F264" s="1" t="str">
        <f>_xlfn.CONCAT(LEFT(Table1[[#This Row],[Gender]],1),Table1[[#This Row],[Age]])</f>
        <v>F60</v>
      </c>
      <c r="G264" s="1" t="s">
        <v>13</v>
      </c>
      <c r="H264" s="1">
        <f>LEN(Table1[[#This Row],[Chest_Pain_Type]])</f>
        <v>11</v>
      </c>
      <c r="I264" s="1">
        <v>147</v>
      </c>
      <c r="J264" s="1" t="str" cm="1">
        <f t="array" ref="J26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64" s="1">
        <v>242</v>
      </c>
      <c r="L264" s="1" t="s">
        <v>14</v>
      </c>
      <c r="M264" s="1" t="str">
        <f>IF(Table1[[#This Row],[Fasting_Blood_Sugar]]="Yes","Diabetic Risk","Normal")</f>
        <v>Normal</v>
      </c>
      <c r="N264" s="1" t="s">
        <v>27</v>
      </c>
      <c r="O264" s="1">
        <v>167</v>
      </c>
      <c r="P264" s="1" t="s">
        <v>14</v>
      </c>
      <c r="Q264" s="4" t="s">
        <v>14</v>
      </c>
      <c r="R264" s="1" t="str" cm="1">
        <f t="array" ref="R26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4" s="1">
        <f>IFERROR(Table1[[#This Row],[Cholesterol]]/Table1[[#This Row],[Max_Heart_Rate]],"")</f>
        <v>1.4491017964071857</v>
      </c>
    </row>
    <row r="265" spans="1:19">
      <c r="A265" s="3" t="s">
        <v>285</v>
      </c>
      <c r="B265" s="3" t="str">
        <f>RIGHT(Table1[[#This Row],[Patient_ID]],4)</f>
        <v>1263</v>
      </c>
      <c r="C265" s="1">
        <v>35</v>
      </c>
      <c r="D265" s="1" t="str">
        <f>VLOOKUP(Table1[[#This Row],[Age]],'Lookup &amp; Reference'!$G$2:$H$5,2,1)</f>
        <v>Low</v>
      </c>
      <c r="E265" s="1" t="s">
        <v>18</v>
      </c>
      <c r="F265" s="1" t="str">
        <f>_xlfn.CONCAT(LEFT(Table1[[#This Row],[Gender]],1),Table1[[#This Row],[Age]])</f>
        <v>M35</v>
      </c>
      <c r="G265" s="1" t="s">
        <v>22</v>
      </c>
      <c r="H265" s="1">
        <f>LEN(Table1[[#This Row],[Chest_Pain_Type]])</f>
        <v>15</v>
      </c>
      <c r="I265" s="1">
        <v>120</v>
      </c>
      <c r="J265" s="1" t="str" cm="1">
        <f t="array" ref="J26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65" s="1">
        <v>290</v>
      </c>
      <c r="L265" s="1" t="s">
        <v>16</v>
      </c>
      <c r="M265" s="1" t="str">
        <f>IF(Table1[[#This Row],[Fasting_Blood_Sugar]]="Yes","Diabetic Risk","Normal")</f>
        <v>Diabetic Risk</v>
      </c>
      <c r="N265" s="1" t="s">
        <v>27</v>
      </c>
      <c r="O265" s="1">
        <v>93</v>
      </c>
      <c r="P265" s="1" t="s">
        <v>16</v>
      </c>
      <c r="Q265" s="4" t="s">
        <v>14</v>
      </c>
      <c r="R265" s="1" t="str" cm="1">
        <f t="array" ref="R26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5" s="1">
        <f>IFERROR(Table1[[#This Row],[Cholesterol]]/Table1[[#This Row],[Max_Heart_Rate]],"")</f>
        <v>3.118279569892473</v>
      </c>
    </row>
    <row r="266" spans="1:19">
      <c r="A266" s="3" t="s">
        <v>286</v>
      </c>
      <c r="B266" s="3" t="str">
        <f>RIGHT(Table1[[#This Row],[Patient_ID]],4)</f>
        <v>1264</v>
      </c>
      <c r="C266" s="1">
        <v>69</v>
      </c>
      <c r="D266" s="1" t="str">
        <f>VLOOKUP(Table1[[#This Row],[Age]],'Lookup &amp; Reference'!$G$2:$H$5,2,1)</f>
        <v>High</v>
      </c>
      <c r="E266" s="1" t="s">
        <v>18</v>
      </c>
      <c r="F266" s="1" t="str">
        <f>_xlfn.CONCAT(LEFT(Table1[[#This Row],[Gender]],1),Table1[[#This Row],[Age]])</f>
        <v>M69</v>
      </c>
      <c r="G266" s="1" t="s">
        <v>22</v>
      </c>
      <c r="H266" s="1">
        <f>LEN(Table1[[#This Row],[Chest_Pain_Type]])</f>
        <v>15</v>
      </c>
      <c r="I266" s="1">
        <v>112</v>
      </c>
      <c r="J266" s="1" t="str" cm="1">
        <f t="array" ref="J26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66" s="1">
        <v>140</v>
      </c>
      <c r="L266" s="1" t="s">
        <v>14</v>
      </c>
      <c r="M266" s="1" t="str">
        <f>IF(Table1[[#This Row],[Fasting_Blood_Sugar]]="Yes","Diabetic Risk","Normal")</f>
        <v>Normal</v>
      </c>
      <c r="N266" s="1" t="s">
        <v>15</v>
      </c>
      <c r="O266" s="1">
        <v>119</v>
      </c>
      <c r="P266" s="1" t="s">
        <v>14</v>
      </c>
      <c r="Q266" s="4" t="s">
        <v>14</v>
      </c>
      <c r="R266" s="1" t="str" cm="1">
        <f t="array" ref="R26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66" s="1">
        <f>IFERROR(Table1[[#This Row],[Cholesterol]]/Table1[[#This Row],[Max_Heart_Rate]],"")</f>
        <v>1.1764705882352942</v>
      </c>
    </row>
    <row r="267" spans="1:19">
      <c r="A267" s="3" t="s">
        <v>287</v>
      </c>
      <c r="B267" s="3" t="str">
        <f>RIGHT(Table1[[#This Row],[Patient_ID]],4)</f>
        <v>1265</v>
      </c>
      <c r="C267" s="1">
        <v>61</v>
      </c>
      <c r="D267" s="1" t="str">
        <f>VLOOKUP(Table1[[#This Row],[Age]],'Lookup &amp; Reference'!$G$2:$H$5,2,1)</f>
        <v>High</v>
      </c>
      <c r="E267" s="1" t="s">
        <v>18</v>
      </c>
      <c r="F267" s="1" t="str">
        <f>_xlfn.CONCAT(LEFT(Table1[[#This Row],[Gender]],1),Table1[[#This Row],[Age]])</f>
        <v>M61</v>
      </c>
      <c r="G267" s="1" t="s">
        <v>13</v>
      </c>
      <c r="H267" s="1">
        <f>LEN(Table1[[#This Row],[Chest_Pain_Type]])</f>
        <v>11</v>
      </c>
      <c r="I267" s="1">
        <v>131</v>
      </c>
      <c r="J267" s="1" t="str" cm="1">
        <f t="array" ref="J267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67" s="1">
        <v>270</v>
      </c>
      <c r="L267" s="1" t="s">
        <v>14</v>
      </c>
      <c r="M267" s="1" t="str">
        <f>IF(Table1[[#This Row],[Fasting_Blood_Sugar]]="Yes","Diabetic Risk","Normal")</f>
        <v>Normal</v>
      </c>
      <c r="N267" s="1" t="s">
        <v>27</v>
      </c>
      <c r="O267" s="1">
        <v>184</v>
      </c>
      <c r="P267" s="1" t="s">
        <v>16</v>
      </c>
      <c r="Q267" s="4" t="s">
        <v>16</v>
      </c>
      <c r="R267" s="1" t="str" cm="1">
        <f t="array" ref="R26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67" s="1">
        <f>IFERROR(Table1[[#This Row],[Cholesterol]]/Table1[[#This Row],[Max_Heart_Rate]],"")</f>
        <v>1.4673913043478262</v>
      </c>
    </row>
    <row r="268" spans="1:19">
      <c r="A268" s="3" t="s">
        <v>288</v>
      </c>
      <c r="B268" s="3" t="str">
        <f>RIGHT(Table1[[#This Row],[Patient_ID]],4)</f>
        <v>1266</v>
      </c>
      <c r="C268" s="1">
        <v>68</v>
      </c>
      <c r="D268" s="1" t="str">
        <f>VLOOKUP(Table1[[#This Row],[Age]],'Lookup &amp; Reference'!$G$2:$H$5,2,1)</f>
        <v>High</v>
      </c>
      <c r="E268" s="1" t="s">
        <v>18</v>
      </c>
      <c r="F268" s="1" t="str">
        <f>_xlfn.CONCAT(LEFT(Table1[[#This Row],[Gender]],1),Table1[[#This Row],[Age]])</f>
        <v>M68</v>
      </c>
      <c r="G268" s="1" t="s">
        <v>22</v>
      </c>
      <c r="H268" s="1">
        <f>LEN(Table1[[#This Row],[Chest_Pain_Type]])</f>
        <v>15</v>
      </c>
      <c r="I268" s="1">
        <v>99</v>
      </c>
      <c r="J268" s="1" t="str" cm="1">
        <f t="array" ref="J26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68" s="1">
        <v>226</v>
      </c>
      <c r="L268" s="1" t="s">
        <v>16</v>
      </c>
      <c r="M268" s="1" t="str">
        <f>IF(Table1[[#This Row],[Fasting_Blood_Sugar]]="Yes","Diabetic Risk","Normal")</f>
        <v>Diabetic Risk</v>
      </c>
      <c r="N268" s="1" t="s">
        <v>15</v>
      </c>
      <c r="O268" s="1">
        <v>191</v>
      </c>
      <c r="P268" s="1" t="s">
        <v>16</v>
      </c>
      <c r="Q268" s="4" t="s">
        <v>16</v>
      </c>
      <c r="R268" s="1" t="str" cm="1">
        <f t="array" ref="R26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68" s="1">
        <f>IFERROR(Table1[[#This Row],[Cholesterol]]/Table1[[#This Row],[Max_Heart_Rate]],"")</f>
        <v>1.1832460732984293</v>
      </c>
    </row>
    <row r="269" spans="1:19">
      <c r="A269" s="3" t="s">
        <v>289</v>
      </c>
      <c r="B269" s="3" t="str">
        <f>RIGHT(Table1[[#This Row],[Patient_ID]],4)</f>
        <v>1267</v>
      </c>
      <c r="C269" s="1">
        <v>67</v>
      </c>
      <c r="D269" s="1" t="str">
        <f>VLOOKUP(Table1[[#This Row],[Age]],'Lookup &amp; Reference'!$G$2:$H$5,2,1)</f>
        <v>High</v>
      </c>
      <c r="E269" s="1" t="s">
        <v>18</v>
      </c>
      <c r="F269" s="1" t="str">
        <f>_xlfn.CONCAT(LEFT(Table1[[#This Row],[Gender]],1),Table1[[#This Row],[Age]])</f>
        <v>M67</v>
      </c>
      <c r="G269" s="1" t="s">
        <v>13</v>
      </c>
      <c r="H269" s="1">
        <f>LEN(Table1[[#This Row],[Chest_Pain_Type]])</f>
        <v>11</v>
      </c>
      <c r="I269" s="1">
        <v>121</v>
      </c>
      <c r="J269" s="1" t="str" cm="1">
        <f t="array" ref="J26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69" s="1">
        <v>199</v>
      </c>
      <c r="L269" s="1" t="s">
        <v>14</v>
      </c>
      <c r="M269" s="1" t="str">
        <f>IF(Table1[[#This Row],[Fasting_Blood_Sugar]]="Yes","Diabetic Risk","Normal")</f>
        <v>Normal</v>
      </c>
      <c r="N269" s="1" t="s">
        <v>15</v>
      </c>
      <c r="O269" s="1">
        <v>164</v>
      </c>
      <c r="P269" s="1" t="s">
        <v>16</v>
      </c>
      <c r="Q269" s="4" t="s">
        <v>16</v>
      </c>
      <c r="R269" s="1" t="str" cm="1">
        <f t="array" ref="R26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69" s="1">
        <f>IFERROR(Table1[[#This Row],[Cholesterol]]/Table1[[#This Row],[Max_Heart_Rate]],"")</f>
        <v>1.2134146341463414</v>
      </c>
    </row>
    <row r="270" spans="1:19">
      <c r="A270" s="3" t="s">
        <v>290</v>
      </c>
      <c r="B270" s="3" t="str">
        <f>RIGHT(Table1[[#This Row],[Patient_ID]],4)</f>
        <v>1268</v>
      </c>
      <c r="C270" s="1">
        <v>46</v>
      </c>
      <c r="D270" s="1" t="str">
        <f>VLOOKUP(Table1[[#This Row],[Age]],'Lookup &amp; Reference'!$G$2:$H$5,2,1)</f>
        <v>Medium</v>
      </c>
      <c r="E270" s="1" t="s">
        <v>12</v>
      </c>
      <c r="F270" s="1" t="str">
        <f>_xlfn.CONCAT(LEFT(Table1[[#This Row],[Gender]],1),Table1[[#This Row],[Age]])</f>
        <v>F46</v>
      </c>
      <c r="G270" s="1" t="s">
        <v>22</v>
      </c>
      <c r="H270" s="1">
        <f>LEN(Table1[[#This Row],[Chest_Pain_Type]])</f>
        <v>15</v>
      </c>
      <c r="I270" s="1">
        <v>142</v>
      </c>
      <c r="J270" s="1" t="str" cm="1">
        <f t="array" ref="J27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70" s="1">
        <v>166</v>
      </c>
      <c r="L270" s="1" t="s">
        <v>14</v>
      </c>
      <c r="M270" s="1" t="str">
        <f>IF(Table1[[#This Row],[Fasting_Blood_Sugar]]="Yes","Diabetic Risk","Normal")</f>
        <v>Normal</v>
      </c>
      <c r="N270" s="1" t="s">
        <v>15</v>
      </c>
      <c r="O270" s="1">
        <v>188</v>
      </c>
      <c r="P270" s="1" t="s">
        <v>16</v>
      </c>
      <c r="Q270" s="4" t="s">
        <v>14</v>
      </c>
      <c r="R270" s="1" t="str" cm="1">
        <f t="array" ref="R27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0" s="1">
        <f>IFERROR(Table1[[#This Row],[Cholesterol]]/Table1[[#This Row],[Max_Heart_Rate]],"")</f>
        <v>0.88297872340425532</v>
      </c>
    </row>
    <row r="271" spans="1:19">
      <c r="A271" s="3" t="s">
        <v>291</v>
      </c>
      <c r="B271" s="3" t="str">
        <f>RIGHT(Table1[[#This Row],[Patient_ID]],4)</f>
        <v>1269</v>
      </c>
      <c r="C271" s="1">
        <v>68</v>
      </c>
      <c r="D271" s="1" t="str">
        <f>VLOOKUP(Table1[[#This Row],[Age]],'Lookup &amp; Reference'!$G$2:$H$5,2,1)</f>
        <v>High</v>
      </c>
      <c r="E271" s="1" t="s">
        <v>18</v>
      </c>
      <c r="F271" s="1" t="str">
        <f>_xlfn.CONCAT(LEFT(Table1[[#This Row],[Gender]],1),Table1[[#This Row],[Age]])</f>
        <v>M68</v>
      </c>
      <c r="G271" s="1" t="s">
        <v>13</v>
      </c>
      <c r="H271" s="1">
        <f>LEN(Table1[[#This Row],[Chest_Pain_Type]])</f>
        <v>11</v>
      </c>
      <c r="I271" s="1">
        <v>119</v>
      </c>
      <c r="J271" s="1" t="str" cm="1">
        <f t="array" ref="J27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71" s="1">
        <v>236</v>
      </c>
      <c r="L271" s="1" t="s">
        <v>14</v>
      </c>
      <c r="M271" s="1" t="str">
        <f>IF(Table1[[#This Row],[Fasting_Blood_Sugar]]="Yes","Diabetic Risk","Normal")</f>
        <v>Normal</v>
      </c>
      <c r="N271" s="1" t="s">
        <v>20</v>
      </c>
      <c r="O271" s="1">
        <v>161</v>
      </c>
      <c r="P271" s="1" t="s">
        <v>16</v>
      </c>
      <c r="Q271" s="4" t="s">
        <v>14</v>
      </c>
      <c r="R271" s="1" t="str" cm="1">
        <f t="array" ref="R27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1" s="1">
        <f>IFERROR(Table1[[#This Row],[Cholesterol]]/Table1[[#This Row],[Max_Heart_Rate]],"")</f>
        <v>1.4658385093167703</v>
      </c>
    </row>
    <row r="272" spans="1:19">
      <c r="A272" s="3" t="s">
        <v>292</v>
      </c>
      <c r="B272" s="3" t="str">
        <f>RIGHT(Table1[[#This Row],[Patient_ID]],4)</f>
        <v>1270</v>
      </c>
      <c r="C272" s="1">
        <v>29</v>
      </c>
      <c r="D272" s="1" t="e">
        <f>VLOOKUP(Table1[[#This Row],[Age]],'Lookup &amp; Reference'!$G$2:$H$5,2,1)</f>
        <v>#N/A</v>
      </c>
      <c r="E272" s="1" t="s">
        <v>12</v>
      </c>
      <c r="F272" s="1" t="str">
        <f>_xlfn.CONCAT(LEFT(Table1[[#This Row],[Gender]],1),Table1[[#This Row],[Age]])</f>
        <v>F29</v>
      </c>
      <c r="G272" s="1" t="s">
        <v>19</v>
      </c>
      <c r="H272" s="1">
        <f>LEN(Table1[[#This Row],[Chest_Pain_Type]])</f>
        <v>14</v>
      </c>
      <c r="I272" s="1">
        <v>128</v>
      </c>
      <c r="J272" s="1" t="str" cm="1">
        <f t="array" ref="J27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72" s="1">
        <v>243</v>
      </c>
      <c r="L272" s="1" t="s">
        <v>16</v>
      </c>
      <c r="M272" s="1" t="str">
        <f>IF(Table1[[#This Row],[Fasting_Blood_Sugar]]="Yes","Diabetic Risk","Normal")</f>
        <v>Diabetic Risk</v>
      </c>
      <c r="N272" s="1" t="s">
        <v>20</v>
      </c>
      <c r="O272" s="1">
        <v>92</v>
      </c>
      <c r="P272" s="1" t="s">
        <v>14</v>
      </c>
      <c r="Q272" s="4" t="s">
        <v>14</v>
      </c>
      <c r="R272" s="1" t="str" cm="1">
        <f t="array" ref="R27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2" s="1">
        <f>IFERROR(Table1[[#This Row],[Cholesterol]]/Table1[[#This Row],[Max_Heart_Rate]],"")</f>
        <v>2.6413043478260869</v>
      </c>
    </row>
    <row r="273" spans="1:19">
      <c r="A273" s="3" t="s">
        <v>293</v>
      </c>
      <c r="B273" s="3" t="str">
        <f>RIGHT(Table1[[#This Row],[Patient_ID]],4)</f>
        <v>1271</v>
      </c>
      <c r="C273" s="1">
        <v>39</v>
      </c>
      <c r="D273" s="1" t="str">
        <f>VLOOKUP(Table1[[#This Row],[Age]],'Lookup &amp; Reference'!$G$2:$H$5,2,1)</f>
        <v>Low</v>
      </c>
      <c r="E273" s="1" t="s">
        <v>12</v>
      </c>
      <c r="F273" s="1" t="str">
        <f>_xlfn.CONCAT(LEFT(Table1[[#This Row],[Gender]],1),Table1[[#This Row],[Age]])</f>
        <v>F39</v>
      </c>
      <c r="G273" s="1" t="s">
        <v>25</v>
      </c>
      <c r="H273" s="1">
        <f>LEN(Table1[[#This Row],[Chest_Pain_Type]])</f>
        <v>12</v>
      </c>
      <c r="I273" s="1">
        <v>120</v>
      </c>
      <c r="J273" s="1" t="str" cm="1">
        <f t="array" ref="J27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73" s="1">
        <v>262</v>
      </c>
      <c r="L273" s="1" t="s">
        <v>16</v>
      </c>
      <c r="M273" s="1" t="str">
        <f>IF(Table1[[#This Row],[Fasting_Blood_Sugar]]="Yes","Diabetic Risk","Normal")</f>
        <v>Diabetic Risk</v>
      </c>
      <c r="N273" s="1" t="s">
        <v>15</v>
      </c>
      <c r="O273" s="1">
        <v>103</v>
      </c>
      <c r="P273" s="1" t="s">
        <v>16</v>
      </c>
      <c r="Q273" s="4" t="s">
        <v>16</v>
      </c>
      <c r="R273" s="1" t="str" cm="1">
        <f t="array" ref="R27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3" s="1">
        <f>IFERROR(Table1[[#This Row],[Cholesterol]]/Table1[[#This Row],[Max_Heart_Rate]],"")</f>
        <v>2.5436893203883497</v>
      </c>
    </row>
    <row r="274" spans="1:19">
      <c r="A274" s="3" t="s">
        <v>294</v>
      </c>
      <c r="B274" s="3" t="str">
        <f>RIGHT(Table1[[#This Row],[Patient_ID]],4)</f>
        <v>1272</v>
      </c>
      <c r="C274" s="1">
        <v>56</v>
      </c>
      <c r="D274" s="1" t="str">
        <f>VLOOKUP(Table1[[#This Row],[Age]],'Lookup &amp; Reference'!$G$2:$H$5,2,1)</f>
        <v>Medium</v>
      </c>
      <c r="E274" s="1" t="s">
        <v>18</v>
      </c>
      <c r="F274" s="1" t="str">
        <f>_xlfn.CONCAT(LEFT(Table1[[#This Row],[Gender]],1),Table1[[#This Row],[Age]])</f>
        <v>M56</v>
      </c>
      <c r="G274" s="1" t="s">
        <v>13</v>
      </c>
      <c r="H274" s="1">
        <f>LEN(Table1[[#This Row],[Chest_Pain_Type]])</f>
        <v>11</v>
      </c>
      <c r="I274" s="1">
        <v>171</v>
      </c>
      <c r="J274" s="1" t="str" cm="1">
        <f t="array" ref="J27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74" s="1">
        <v>144</v>
      </c>
      <c r="L274" s="1" t="s">
        <v>14</v>
      </c>
      <c r="M274" s="1" t="str">
        <f>IF(Table1[[#This Row],[Fasting_Blood_Sugar]]="Yes","Diabetic Risk","Normal")</f>
        <v>Normal</v>
      </c>
      <c r="N274" s="1" t="s">
        <v>27</v>
      </c>
      <c r="O274" s="1">
        <v>149</v>
      </c>
      <c r="P274" s="1" t="s">
        <v>16</v>
      </c>
      <c r="Q274" s="4" t="s">
        <v>14</v>
      </c>
      <c r="R274" s="1" t="str" cm="1">
        <f t="array" ref="R27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4" s="1">
        <f>IFERROR(Table1[[#This Row],[Cholesterol]]/Table1[[#This Row],[Max_Heart_Rate]],"")</f>
        <v>0.96644295302013428</v>
      </c>
    </row>
    <row r="275" spans="1:19">
      <c r="A275" s="3" t="s">
        <v>295</v>
      </c>
      <c r="B275" s="3" t="str">
        <f>RIGHT(Table1[[#This Row],[Patient_ID]],4)</f>
        <v>1273</v>
      </c>
      <c r="C275" s="1">
        <v>53</v>
      </c>
      <c r="D275" s="1" t="str">
        <f>VLOOKUP(Table1[[#This Row],[Age]],'Lookup &amp; Reference'!$G$2:$H$5,2,1)</f>
        <v>Medium</v>
      </c>
      <c r="E275" s="1" t="s">
        <v>18</v>
      </c>
      <c r="F275" s="1" t="str">
        <f>_xlfn.CONCAT(LEFT(Table1[[#This Row],[Gender]],1),Table1[[#This Row],[Age]])</f>
        <v>M53</v>
      </c>
      <c r="G275" s="1" t="s">
        <v>13</v>
      </c>
      <c r="H275" s="1">
        <f>LEN(Table1[[#This Row],[Chest_Pain_Type]])</f>
        <v>11</v>
      </c>
      <c r="I275" s="1">
        <v>189</v>
      </c>
      <c r="J275" s="1" t="str" cm="1">
        <f t="array" ref="J27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75" s="1">
        <v>155</v>
      </c>
      <c r="L275" s="1" t="s">
        <v>16</v>
      </c>
      <c r="M275" s="1" t="str">
        <f>IF(Table1[[#This Row],[Fasting_Blood_Sugar]]="Yes","Diabetic Risk","Normal")</f>
        <v>Diabetic Risk</v>
      </c>
      <c r="N275" s="1" t="s">
        <v>15</v>
      </c>
      <c r="O275" s="1">
        <v>166</v>
      </c>
      <c r="P275" s="1" t="s">
        <v>14</v>
      </c>
      <c r="Q275" s="4" t="s">
        <v>14</v>
      </c>
      <c r="R275" s="1" t="str" cm="1">
        <f t="array" ref="R27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5" s="1">
        <f>IFERROR(Table1[[#This Row],[Cholesterol]]/Table1[[#This Row],[Max_Heart_Rate]],"")</f>
        <v>0.9337349397590361</v>
      </c>
    </row>
    <row r="276" spans="1:19">
      <c r="A276" s="3" t="s">
        <v>296</v>
      </c>
      <c r="B276" s="3" t="str">
        <f>RIGHT(Table1[[#This Row],[Patient_ID]],4)</f>
        <v>1274</v>
      </c>
      <c r="C276" s="1">
        <v>78</v>
      </c>
      <c r="D276" s="1" t="str">
        <f>VLOOKUP(Table1[[#This Row],[Age]],'Lookup &amp; Reference'!$G$2:$H$5,2,1)</f>
        <v>High</v>
      </c>
      <c r="E276" s="1" t="s">
        <v>18</v>
      </c>
      <c r="F276" s="1" t="str">
        <f>_xlfn.CONCAT(LEFT(Table1[[#This Row],[Gender]],1),Table1[[#This Row],[Age]])</f>
        <v>M78</v>
      </c>
      <c r="G276" s="1" t="s">
        <v>25</v>
      </c>
      <c r="H276" s="1">
        <f>LEN(Table1[[#This Row],[Chest_Pain_Type]])</f>
        <v>12</v>
      </c>
      <c r="I276" s="1">
        <v>91</v>
      </c>
      <c r="J276" s="1" t="str" cm="1">
        <f t="array" ref="J27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76" s="1">
        <v>322</v>
      </c>
      <c r="L276" s="1" t="s">
        <v>14</v>
      </c>
      <c r="M276" s="1" t="str">
        <f>IF(Table1[[#This Row],[Fasting_Blood_Sugar]]="Yes","Diabetic Risk","Normal")</f>
        <v>Normal</v>
      </c>
      <c r="N276" s="1" t="s">
        <v>27</v>
      </c>
      <c r="O276" s="1">
        <v>134</v>
      </c>
      <c r="P276" s="1" t="s">
        <v>14</v>
      </c>
      <c r="Q276" s="4" t="s">
        <v>16</v>
      </c>
      <c r="R276" s="1" t="str" cm="1">
        <f t="array" ref="R27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76" s="1">
        <f>IFERROR(Table1[[#This Row],[Cholesterol]]/Table1[[#This Row],[Max_Heart_Rate]],"")</f>
        <v>2.4029850746268657</v>
      </c>
    </row>
    <row r="277" spans="1:19">
      <c r="A277" s="3" t="s">
        <v>297</v>
      </c>
      <c r="B277" s="3" t="str">
        <f>RIGHT(Table1[[#This Row],[Patient_ID]],4)</f>
        <v>1275</v>
      </c>
      <c r="C277" s="1">
        <v>51</v>
      </c>
      <c r="D277" s="1" t="str">
        <f>VLOOKUP(Table1[[#This Row],[Age]],'Lookup &amp; Reference'!$G$2:$H$5,2,1)</f>
        <v>Medium</v>
      </c>
      <c r="E277" s="1" t="s">
        <v>18</v>
      </c>
      <c r="F277" s="1" t="str">
        <f>_xlfn.CONCAT(LEFT(Table1[[#This Row],[Gender]],1),Table1[[#This Row],[Age]])</f>
        <v>M51</v>
      </c>
      <c r="G277" s="1" t="s">
        <v>13</v>
      </c>
      <c r="H277" s="1">
        <f>LEN(Table1[[#This Row],[Chest_Pain_Type]])</f>
        <v>11</v>
      </c>
      <c r="I277" s="1">
        <v>167</v>
      </c>
      <c r="J277" s="1" t="str" cm="1">
        <f t="array" ref="J27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77" s="1">
        <v>170</v>
      </c>
      <c r="L277" s="1" t="s">
        <v>14</v>
      </c>
      <c r="M277" s="1" t="str">
        <f>IF(Table1[[#This Row],[Fasting_Blood_Sugar]]="Yes","Diabetic Risk","Normal")</f>
        <v>Normal</v>
      </c>
      <c r="N277" s="1" t="s">
        <v>15</v>
      </c>
      <c r="O277" s="1">
        <v>185</v>
      </c>
      <c r="P277" s="1" t="s">
        <v>14</v>
      </c>
      <c r="Q277" s="4" t="s">
        <v>14</v>
      </c>
      <c r="R277" s="1" t="str" cm="1">
        <f t="array" ref="R27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77" s="1">
        <f>IFERROR(Table1[[#This Row],[Cholesterol]]/Table1[[#This Row],[Max_Heart_Rate]],"")</f>
        <v>0.91891891891891897</v>
      </c>
    </row>
    <row r="278" spans="1:19">
      <c r="A278" s="3" t="s">
        <v>298</v>
      </c>
      <c r="B278" s="3" t="str">
        <f>RIGHT(Table1[[#This Row],[Patient_ID]],4)</f>
        <v>1276</v>
      </c>
      <c r="C278" s="1">
        <v>59</v>
      </c>
      <c r="D278" s="1" t="str">
        <f>VLOOKUP(Table1[[#This Row],[Age]],'Lookup &amp; Reference'!$G$2:$H$5,2,1)</f>
        <v>Medium</v>
      </c>
      <c r="E278" s="1" t="s">
        <v>12</v>
      </c>
      <c r="F278" s="1" t="str">
        <f>_xlfn.CONCAT(LEFT(Table1[[#This Row],[Gender]],1),Table1[[#This Row],[Age]])</f>
        <v>F59</v>
      </c>
      <c r="G278" s="1" t="s">
        <v>13</v>
      </c>
      <c r="H278" s="1">
        <f>LEN(Table1[[#This Row],[Chest_Pain_Type]])</f>
        <v>11</v>
      </c>
      <c r="I278" s="1">
        <v>166</v>
      </c>
      <c r="J278" s="1" t="str" cm="1">
        <f t="array" ref="J27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78" s="1">
        <v>134</v>
      </c>
      <c r="L278" s="1" t="s">
        <v>14</v>
      </c>
      <c r="M278" s="1" t="str">
        <f>IF(Table1[[#This Row],[Fasting_Blood_Sugar]]="Yes","Diabetic Risk","Normal")</f>
        <v>Normal</v>
      </c>
      <c r="N278" s="1" t="s">
        <v>27</v>
      </c>
      <c r="O278" s="1">
        <v>123</v>
      </c>
      <c r="P278" s="1" t="s">
        <v>16</v>
      </c>
      <c r="Q278" s="4" t="s">
        <v>16</v>
      </c>
      <c r="R278" s="1" t="str" cm="1">
        <f t="array" ref="R27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78" s="1">
        <f>IFERROR(Table1[[#This Row],[Cholesterol]]/Table1[[#This Row],[Max_Heart_Rate]],"")</f>
        <v>1.089430894308943</v>
      </c>
    </row>
    <row r="279" spans="1:19">
      <c r="A279" s="3" t="s">
        <v>299</v>
      </c>
      <c r="B279" s="3" t="str">
        <f>RIGHT(Table1[[#This Row],[Patient_ID]],4)</f>
        <v>1277</v>
      </c>
      <c r="C279" s="1">
        <v>58</v>
      </c>
      <c r="D279" s="1" t="str">
        <f>VLOOKUP(Table1[[#This Row],[Age]],'Lookup &amp; Reference'!$G$2:$H$5,2,1)</f>
        <v>Medium</v>
      </c>
      <c r="E279" s="1" t="s">
        <v>18</v>
      </c>
      <c r="F279" s="1" t="str">
        <f>_xlfn.CONCAT(LEFT(Table1[[#This Row],[Gender]],1),Table1[[#This Row],[Age]])</f>
        <v>M58</v>
      </c>
      <c r="G279" s="1" t="s">
        <v>22</v>
      </c>
      <c r="H279" s="1">
        <f>LEN(Table1[[#This Row],[Chest_Pain_Type]])</f>
        <v>15</v>
      </c>
      <c r="I279" s="1">
        <v>182</v>
      </c>
      <c r="J279" s="1" t="str" cm="1">
        <f t="array" ref="J27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79" s="1">
        <v>187</v>
      </c>
      <c r="L279" s="1" t="s">
        <v>14</v>
      </c>
      <c r="M279" s="1" t="str">
        <f>IF(Table1[[#This Row],[Fasting_Blood_Sugar]]="Yes","Diabetic Risk","Normal")</f>
        <v>Normal</v>
      </c>
      <c r="N279" s="1" t="s">
        <v>20</v>
      </c>
      <c r="O279" s="1">
        <v>134</v>
      </c>
      <c r="P279" s="1" t="s">
        <v>16</v>
      </c>
      <c r="Q279" s="4" t="s">
        <v>16</v>
      </c>
      <c r="R279" s="1" t="str" cm="1">
        <f t="array" ref="R27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79" s="1">
        <f>IFERROR(Table1[[#This Row],[Cholesterol]]/Table1[[#This Row],[Max_Heart_Rate]],"")</f>
        <v>1.3955223880597014</v>
      </c>
    </row>
    <row r="280" spans="1:19">
      <c r="A280" s="3" t="s">
        <v>300</v>
      </c>
      <c r="B280" s="3" t="str">
        <f>RIGHT(Table1[[#This Row],[Patient_ID]],4)</f>
        <v>1278</v>
      </c>
      <c r="C280" s="1">
        <v>70</v>
      </c>
      <c r="D280" s="1" t="str">
        <f>VLOOKUP(Table1[[#This Row],[Age]],'Lookup &amp; Reference'!$G$2:$H$5,2,1)</f>
        <v>High</v>
      </c>
      <c r="E280" s="1" t="s">
        <v>18</v>
      </c>
      <c r="F280" s="1" t="str">
        <f>_xlfn.CONCAT(LEFT(Table1[[#This Row],[Gender]],1),Table1[[#This Row],[Age]])</f>
        <v>M70</v>
      </c>
      <c r="G280" s="1" t="s">
        <v>25</v>
      </c>
      <c r="H280" s="1">
        <f>LEN(Table1[[#This Row],[Chest_Pain_Type]])</f>
        <v>12</v>
      </c>
      <c r="I280" s="1">
        <v>101</v>
      </c>
      <c r="J280" s="1" t="str" cm="1">
        <f t="array" ref="J28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80" s="1">
        <v>140</v>
      </c>
      <c r="L280" s="1" t="s">
        <v>14</v>
      </c>
      <c r="M280" s="1" t="str">
        <f>IF(Table1[[#This Row],[Fasting_Blood_Sugar]]="Yes","Diabetic Risk","Normal")</f>
        <v>Normal</v>
      </c>
      <c r="N280" s="1" t="s">
        <v>27</v>
      </c>
      <c r="O280" s="1">
        <v>150</v>
      </c>
      <c r="P280" s="1" t="s">
        <v>16</v>
      </c>
      <c r="Q280" s="4" t="s">
        <v>14</v>
      </c>
      <c r="R280" s="1" t="str" cm="1">
        <f t="array" ref="R28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0" s="1">
        <f>IFERROR(Table1[[#This Row],[Cholesterol]]/Table1[[#This Row],[Max_Heart_Rate]],"")</f>
        <v>0.93333333333333335</v>
      </c>
    </row>
    <row r="281" spans="1:19">
      <c r="A281" s="3" t="s">
        <v>301</v>
      </c>
      <c r="B281" s="3" t="str">
        <f>RIGHT(Table1[[#This Row],[Patient_ID]],4)</f>
        <v>1279</v>
      </c>
      <c r="C281" s="1">
        <v>63</v>
      </c>
      <c r="D281" s="1" t="str">
        <f>VLOOKUP(Table1[[#This Row],[Age]],'Lookup &amp; Reference'!$G$2:$H$5,2,1)</f>
        <v>High</v>
      </c>
      <c r="E281" s="1" t="s">
        <v>18</v>
      </c>
      <c r="F281" s="1" t="str">
        <f>_xlfn.CONCAT(LEFT(Table1[[#This Row],[Gender]],1),Table1[[#This Row],[Age]])</f>
        <v>M63</v>
      </c>
      <c r="G281" s="1" t="s">
        <v>19</v>
      </c>
      <c r="H281" s="1">
        <f>LEN(Table1[[#This Row],[Chest_Pain_Type]])</f>
        <v>14</v>
      </c>
      <c r="I281" s="1">
        <v>128</v>
      </c>
      <c r="J281" s="1" t="str" cm="1">
        <f t="array" ref="J28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81" s="1">
        <v>260</v>
      </c>
      <c r="L281" s="1" t="s">
        <v>16</v>
      </c>
      <c r="M281" s="1" t="str">
        <f>IF(Table1[[#This Row],[Fasting_Blood_Sugar]]="Yes","Diabetic Risk","Normal")</f>
        <v>Diabetic Risk</v>
      </c>
      <c r="N281" s="1" t="s">
        <v>15</v>
      </c>
      <c r="O281" s="1">
        <v>172</v>
      </c>
      <c r="P281" s="1" t="s">
        <v>14</v>
      </c>
      <c r="Q281" s="4" t="s">
        <v>14</v>
      </c>
      <c r="R281" s="1" t="str" cm="1">
        <f t="array" ref="R28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1" s="1">
        <f>IFERROR(Table1[[#This Row],[Cholesterol]]/Table1[[#This Row],[Max_Heart_Rate]],"")</f>
        <v>1.5116279069767442</v>
      </c>
    </row>
    <row r="282" spans="1:19">
      <c r="A282" s="3" t="s">
        <v>302</v>
      </c>
      <c r="B282" s="3" t="str">
        <f>RIGHT(Table1[[#This Row],[Patient_ID]],4)</f>
        <v>1280</v>
      </c>
      <c r="C282" s="1">
        <v>35</v>
      </c>
      <c r="D282" s="1" t="str">
        <f>VLOOKUP(Table1[[#This Row],[Age]],'Lookup &amp; Reference'!$G$2:$H$5,2,1)</f>
        <v>Low</v>
      </c>
      <c r="E282" s="1" t="s">
        <v>18</v>
      </c>
      <c r="F282" s="1" t="str">
        <f>_xlfn.CONCAT(LEFT(Table1[[#This Row],[Gender]],1),Table1[[#This Row],[Age]])</f>
        <v>M35</v>
      </c>
      <c r="G282" s="1" t="s">
        <v>13</v>
      </c>
      <c r="H282" s="1">
        <f>LEN(Table1[[#This Row],[Chest_Pain_Type]])</f>
        <v>11</v>
      </c>
      <c r="I282" s="1">
        <v>155</v>
      </c>
      <c r="J282" s="1" t="str" cm="1">
        <f t="array" ref="J28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82" s="1">
        <v>333</v>
      </c>
      <c r="L282" s="1" t="s">
        <v>14</v>
      </c>
      <c r="M282" s="1" t="str">
        <f>IF(Table1[[#This Row],[Fasting_Blood_Sugar]]="Yes","Diabetic Risk","Normal")</f>
        <v>Normal</v>
      </c>
      <c r="N282" s="1" t="s">
        <v>20</v>
      </c>
      <c r="O282" s="1">
        <v>191</v>
      </c>
      <c r="P282" s="1" t="s">
        <v>16</v>
      </c>
      <c r="Q282" s="4" t="s">
        <v>14</v>
      </c>
      <c r="R282" s="1" t="str" cm="1">
        <f t="array" ref="R28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2" s="1">
        <f>IFERROR(Table1[[#This Row],[Cholesterol]]/Table1[[#This Row],[Max_Heart_Rate]],"")</f>
        <v>1.743455497382199</v>
      </c>
    </row>
    <row r="283" spans="1:19">
      <c r="A283" s="3" t="s">
        <v>303</v>
      </c>
      <c r="B283" s="3" t="str">
        <f>RIGHT(Table1[[#This Row],[Patient_ID]],4)</f>
        <v>1281</v>
      </c>
      <c r="C283" s="1">
        <v>44</v>
      </c>
      <c r="D283" s="1" t="str">
        <f>VLOOKUP(Table1[[#This Row],[Age]],'Lookup &amp; Reference'!$G$2:$H$5,2,1)</f>
        <v>Low</v>
      </c>
      <c r="E283" s="1" t="s">
        <v>18</v>
      </c>
      <c r="F283" s="1" t="str">
        <f>_xlfn.CONCAT(LEFT(Table1[[#This Row],[Gender]],1),Table1[[#This Row],[Age]])</f>
        <v>M44</v>
      </c>
      <c r="G283" s="1" t="s">
        <v>25</v>
      </c>
      <c r="H283" s="1">
        <f>LEN(Table1[[#This Row],[Chest_Pain_Type]])</f>
        <v>12</v>
      </c>
      <c r="I283" s="1">
        <v>185</v>
      </c>
      <c r="J283" s="1" t="str" cm="1">
        <f t="array" ref="J28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83" s="1">
        <v>138</v>
      </c>
      <c r="L283" s="1" t="s">
        <v>16</v>
      </c>
      <c r="M283" s="1" t="str">
        <f>IF(Table1[[#This Row],[Fasting_Blood_Sugar]]="Yes","Diabetic Risk","Normal")</f>
        <v>Diabetic Risk</v>
      </c>
      <c r="N283" s="1" t="s">
        <v>27</v>
      </c>
      <c r="O283" s="1">
        <v>105</v>
      </c>
      <c r="P283" s="1" t="s">
        <v>14</v>
      </c>
      <c r="Q283" s="4" t="s">
        <v>16</v>
      </c>
      <c r="R283" s="1" t="str" cm="1">
        <f t="array" ref="R28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3" s="1">
        <f>IFERROR(Table1[[#This Row],[Cholesterol]]/Table1[[#This Row],[Max_Heart_Rate]],"")</f>
        <v>1.3142857142857143</v>
      </c>
    </row>
    <row r="284" spans="1:19">
      <c r="A284" s="3" t="s">
        <v>304</v>
      </c>
      <c r="B284" s="3" t="str">
        <f>RIGHT(Table1[[#This Row],[Patient_ID]],4)</f>
        <v>1282</v>
      </c>
      <c r="C284" s="1">
        <v>54</v>
      </c>
      <c r="D284" s="1" t="str">
        <f>VLOOKUP(Table1[[#This Row],[Age]],'Lookup &amp; Reference'!$G$2:$H$5,2,1)</f>
        <v>Medium</v>
      </c>
      <c r="E284" s="1" t="s">
        <v>18</v>
      </c>
      <c r="F284" s="1" t="str">
        <f>_xlfn.CONCAT(LEFT(Table1[[#This Row],[Gender]],1),Table1[[#This Row],[Age]])</f>
        <v>M54</v>
      </c>
      <c r="G284" s="1" t="s">
        <v>22</v>
      </c>
      <c r="H284" s="1">
        <f>LEN(Table1[[#This Row],[Chest_Pain_Type]])</f>
        <v>15</v>
      </c>
      <c r="I284" s="1">
        <v>102</v>
      </c>
      <c r="J284" s="1" t="str" cm="1">
        <f t="array" ref="J28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84" s="1">
        <v>153</v>
      </c>
      <c r="L284" s="1" t="s">
        <v>16</v>
      </c>
      <c r="M284" s="1" t="str">
        <f>IF(Table1[[#This Row],[Fasting_Blood_Sugar]]="Yes","Diabetic Risk","Normal")</f>
        <v>Diabetic Risk</v>
      </c>
      <c r="N284" s="1" t="s">
        <v>27</v>
      </c>
      <c r="O284" s="1">
        <v>155</v>
      </c>
      <c r="P284" s="1" t="s">
        <v>16</v>
      </c>
      <c r="Q284" s="4" t="s">
        <v>16</v>
      </c>
      <c r="R284" s="1" t="str" cm="1">
        <f t="array" ref="R28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84" s="1">
        <f>IFERROR(Table1[[#This Row],[Cholesterol]]/Table1[[#This Row],[Max_Heart_Rate]],"")</f>
        <v>0.98709677419354835</v>
      </c>
    </row>
    <row r="285" spans="1:19">
      <c r="A285" s="3" t="s">
        <v>305</v>
      </c>
      <c r="B285" s="3" t="str">
        <f>RIGHT(Table1[[#This Row],[Patient_ID]],4)</f>
        <v>1283</v>
      </c>
      <c r="C285" s="1">
        <v>76</v>
      </c>
      <c r="D285" s="1" t="str">
        <f>VLOOKUP(Table1[[#This Row],[Age]],'Lookup &amp; Reference'!$G$2:$H$5,2,1)</f>
        <v>High</v>
      </c>
      <c r="E285" s="1" t="s">
        <v>12</v>
      </c>
      <c r="F285" s="1" t="str">
        <f>_xlfn.CONCAT(LEFT(Table1[[#This Row],[Gender]],1),Table1[[#This Row],[Age]])</f>
        <v>F76</v>
      </c>
      <c r="G285" s="1" t="s">
        <v>19</v>
      </c>
      <c r="H285" s="1">
        <f>LEN(Table1[[#This Row],[Chest_Pain_Type]])</f>
        <v>14</v>
      </c>
      <c r="I285" s="1">
        <v>135</v>
      </c>
      <c r="J285" s="1" t="str" cm="1">
        <f t="array" ref="J28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85" s="1">
        <v>197</v>
      </c>
      <c r="L285" s="1" t="s">
        <v>14</v>
      </c>
      <c r="M285" s="1" t="str">
        <f>IF(Table1[[#This Row],[Fasting_Blood_Sugar]]="Yes","Diabetic Risk","Normal")</f>
        <v>Normal</v>
      </c>
      <c r="N285" s="1" t="s">
        <v>27</v>
      </c>
      <c r="O285" s="1">
        <v>129</v>
      </c>
      <c r="P285" s="1" t="s">
        <v>14</v>
      </c>
      <c r="Q285" s="4" t="s">
        <v>16</v>
      </c>
      <c r="R285" s="1" t="str" cm="1">
        <f t="array" ref="R28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85" s="1">
        <f>IFERROR(Table1[[#This Row],[Cholesterol]]/Table1[[#This Row],[Max_Heart_Rate]],"")</f>
        <v>1.5271317829457365</v>
      </c>
    </row>
    <row r="286" spans="1:19">
      <c r="A286" s="3" t="s">
        <v>306</v>
      </c>
      <c r="B286" s="3" t="str">
        <f>RIGHT(Table1[[#This Row],[Patient_ID]],4)</f>
        <v>1284</v>
      </c>
      <c r="C286" s="1">
        <v>77</v>
      </c>
      <c r="D286" s="1" t="str">
        <f>VLOOKUP(Table1[[#This Row],[Age]],'Lookup &amp; Reference'!$G$2:$H$5,2,1)</f>
        <v>High</v>
      </c>
      <c r="E286" s="1" t="s">
        <v>12</v>
      </c>
      <c r="F286" s="1" t="str">
        <f>_xlfn.CONCAT(LEFT(Table1[[#This Row],[Gender]],1),Table1[[#This Row],[Age]])</f>
        <v>F77</v>
      </c>
      <c r="G286" s="1" t="s">
        <v>25</v>
      </c>
      <c r="H286" s="1">
        <f>LEN(Table1[[#This Row],[Chest_Pain_Type]])</f>
        <v>12</v>
      </c>
      <c r="I286" s="1">
        <v>116</v>
      </c>
      <c r="J286" s="1" t="str" cm="1">
        <f t="array" ref="J28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86" s="1">
        <v>244</v>
      </c>
      <c r="L286" s="1" t="s">
        <v>14</v>
      </c>
      <c r="M286" s="1" t="str">
        <f>IF(Table1[[#This Row],[Fasting_Blood_Sugar]]="Yes","Diabetic Risk","Normal")</f>
        <v>Normal</v>
      </c>
      <c r="N286" s="1" t="s">
        <v>27</v>
      </c>
      <c r="O286" s="1">
        <v>106</v>
      </c>
      <c r="P286" s="1" t="s">
        <v>16</v>
      </c>
      <c r="Q286" s="4" t="s">
        <v>14</v>
      </c>
      <c r="R286" s="1" t="str" cm="1">
        <f t="array" ref="R28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6" s="1">
        <f>IFERROR(Table1[[#This Row],[Cholesterol]]/Table1[[#This Row],[Max_Heart_Rate]],"")</f>
        <v>2.3018867924528301</v>
      </c>
    </row>
    <row r="287" spans="1:19">
      <c r="A287" s="3" t="s">
        <v>307</v>
      </c>
      <c r="B287" s="3" t="str">
        <f>RIGHT(Table1[[#This Row],[Patient_ID]],4)</f>
        <v>1285</v>
      </c>
      <c r="C287" s="1">
        <v>30</v>
      </c>
      <c r="D287" s="1" t="str">
        <f>VLOOKUP(Table1[[#This Row],[Age]],'Lookup &amp; Reference'!$G$2:$H$5,2,1)</f>
        <v>Low</v>
      </c>
      <c r="E287" s="1" t="s">
        <v>18</v>
      </c>
      <c r="F287" s="1" t="str">
        <f>_xlfn.CONCAT(LEFT(Table1[[#This Row],[Gender]],1),Table1[[#This Row],[Age]])</f>
        <v>M30</v>
      </c>
      <c r="G287" s="1" t="s">
        <v>19</v>
      </c>
      <c r="H287" s="1">
        <f>LEN(Table1[[#This Row],[Chest_Pain_Type]])</f>
        <v>14</v>
      </c>
      <c r="I287" s="1">
        <v>106</v>
      </c>
      <c r="J287" s="1" t="str" cm="1">
        <f t="array" ref="J28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87" s="1">
        <v>315</v>
      </c>
      <c r="L287" s="1" t="s">
        <v>16</v>
      </c>
      <c r="M287" s="1" t="str">
        <f>IF(Table1[[#This Row],[Fasting_Blood_Sugar]]="Yes","Diabetic Risk","Normal")</f>
        <v>Diabetic Risk</v>
      </c>
      <c r="N287" s="1" t="s">
        <v>27</v>
      </c>
      <c r="O287" s="1">
        <v>208</v>
      </c>
      <c r="P287" s="1" t="s">
        <v>16</v>
      </c>
      <c r="Q287" s="4" t="s">
        <v>14</v>
      </c>
      <c r="R287" s="1" t="str" cm="1">
        <f t="array" ref="R28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7" s="1">
        <f>IFERROR(Table1[[#This Row],[Cholesterol]]/Table1[[#This Row],[Max_Heart_Rate]],"")</f>
        <v>1.5144230769230769</v>
      </c>
    </row>
    <row r="288" spans="1:19">
      <c r="A288" s="3" t="s">
        <v>308</v>
      </c>
      <c r="B288" s="3" t="str">
        <f>RIGHT(Table1[[#This Row],[Patient_ID]],4)</f>
        <v>1286</v>
      </c>
      <c r="C288" s="1">
        <v>29</v>
      </c>
      <c r="D288" s="1" t="e">
        <f>VLOOKUP(Table1[[#This Row],[Age]],'Lookup &amp; Reference'!$G$2:$H$5,2,1)</f>
        <v>#N/A</v>
      </c>
      <c r="E288" s="1" t="s">
        <v>18</v>
      </c>
      <c r="F288" s="1" t="str">
        <f>_xlfn.CONCAT(LEFT(Table1[[#This Row],[Gender]],1),Table1[[#This Row],[Age]])</f>
        <v>M29</v>
      </c>
      <c r="G288" s="1" t="s">
        <v>19</v>
      </c>
      <c r="H288" s="1">
        <f>LEN(Table1[[#This Row],[Chest_Pain_Type]])</f>
        <v>14</v>
      </c>
      <c r="I288" s="1">
        <v>184</v>
      </c>
      <c r="J288" s="1" t="str" cm="1">
        <f t="array" ref="J28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88" s="1">
        <v>236</v>
      </c>
      <c r="L288" s="1" t="s">
        <v>16</v>
      </c>
      <c r="M288" s="1" t="str">
        <f>IF(Table1[[#This Row],[Fasting_Blood_Sugar]]="Yes","Diabetic Risk","Normal")</f>
        <v>Diabetic Risk</v>
      </c>
      <c r="N288" s="1" t="s">
        <v>20</v>
      </c>
      <c r="O288" s="1">
        <v>123</v>
      </c>
      <c r="P288" s="1" t="s">
        <v>16</v>
      </c>
      <c r="Q288" s="4" t="s">
        <v>14</v>
      </c>
      <c r="R288" s="1" t="str" cm="1">
        <f t="array" ref="R28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8" s="1">
        <f>IFERROR(Table1[[#This Row],[Cholesterol]]/Table1[[#This Row],[Max_Heart_Rate]],"")</f>
        <v>1.9186991869918699</v>
      </c>
    </row>
    <row r="289" spans="1:19">
      <c r="A289" s="3" t="s">
        <v>309</v>
      </c>
      <c r="B289" s="3" t="str">
        <f>RIGHT(Table1[[#This Row],[Patient_ID]],4)</f>
        <v>1287</v>
      </c>
      <c r="C289" s="1">
        <v>76</v>
      </c>
      <c r="D289" s="1" t="str">
        <f>VLOOKUP(Table1[[#This Row],[Age]],'Lookup &amp; Reference'!$G$2:$H$5,2,1)</f>
        <v>High</v>
      </c>
      <c r="E289" s="1" t="s">
        <v>18</v>
      </c>
      <c r="F289" s="1" t="str">
        <f>_xlfn.CONCAT(LEFT(Table1[[#This Row],[Gender]],1),Table1[[#This Row],[Age]])</f>
        <v>M76</v>
      </c>
      <c r="G289" s="1" t="s">
        <v>19</v>
      </c>
      <c r="H289" s="1">
        <f>LEN(Table1[[#This Row],[Chest_Pain_Type]])</f>
        <v>14</v>
      </c>
      <c r="I289" s="1">
        <v>187</v>
      </c>
      <c r="J289" s="1" t="str" cm="1">
        <f t="array" ref="J28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89" s="1">
        <v>171</v>
      </c>
      <c r="L289" s="1" t="s">
        <v>16</v>
      </c>
      <c r="M289" s="1" t="str">
        <f>IF(Table1[[#This Row],[Fasting_Blood_Sugar]]="Yes","Diabetic Risk","Normal")</f>
        <v>Diabetic Risk</v>
      </c>
      <c r="N289" s="1" t="s">
        <v>20</v>
      </c>
      <c r="O289" s="1">
        <v>195</v>
      </c>
      <c r="P289" s="1" t="s">
        <v>14</v>
      </c>
      <c r="Q289" s="4" t="s">
        <v>14</v>
      </c>
      <c r="R289" s="1" t="str" cm="1">
        <f t="array" ref="R28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89" s="1">
        <f>IFERROR(Table1[[#This Row],[Cholesterol]]/Table1[[#This Row],[Max_Heart_Rate]],"")</f>
        <v>0.87692307692307692</v>
      </c>
    </row>
    <row r="290" spans="1:19">
      <c r="A290" s="3" t="s">
        <v>310</v>
      </c>
      <c r="B290" s="3" t="str">
        <f>RIGHT(Table1[[#This Row],[Patient_ID]],4)</f>
        <v>1288</v>
      </c>
      <c r="C290" s="1">
        <v>40</v>
      </c>
      <c r="D290" s="1" t="str">
        <f>VLOOKUP(Table1[[#This Row],[Age]],'Lookup &amp; Reference'!$G$2:$H$5,2,1)</f>
        <v>Low</v>
      </c>
      <c r="E290" s="1" t="s">
        <v>12</v>
      </c>
      <c r="F290" s="1" t="str">
        <f>_xlfn.CONCAT(LEFT(Table1[[#This Row],[Gender]],1),Table1[[#This Row],[Age]])</f>
        <v>F40</v>
      </c>
      <c r="G290" s="1" t="s">
        <v>13</v>
      </c>
      <c r="H290" s="1">
        <f>LEN(Table1[[#This Row],[Chest_Pain_Type]])</f>
        <v>11</v>
      </c>
      <c r="I290" s="1">
        <v>149</v>
      </c>
      <c r="J290" s="1" t="str" cm="1">
        <f t="array" ref="J29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0" s="1">
        <v>146</v>
      </c>
      <c r="L290" s="1" t="s">
        <v>14</v>
      </c>
      <c r="M290" s="1" t="str">
        <f>IF(Table1[[#This Row],[Fasting_Blood_Sugar]]="Yes","Diabetic Risk","Normal")</f>
        <v>Normal</v>
      </c>
      <c r="N290" s="1" t="s">
        <v>20</v>
      </c>
      <c r="O290" s="1">
        <v>105</v>
      </c>
      <c r="P290" s="1" t="s">
        <v>14</v>
      </c>
      <c r="Q290" s="4" t="s">
        <v>16</v>
      </c>
      <c r="R290" s="1" t="str" cm="1">
        <f t="array" ref="R29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90" s="1">
        <f>IFERROR(Table1[[#This Row],[Cholesterol]]/Table1[[#This Row],[Max_Heart_Rate]],"")</f>
        <v>1.3904761904761904</v>
      </c>
    </row>
    <row r="291" spans="1:19">
      <c r="A291" s="3" t="s">
        <v>311</v>
      </c>
      <c r="B291" s="3" t="str">
        <f>RIGHT(Table1[[#This Row],[Patient_ID]],4)</f>
        <v>1289</v>
      </c>
      <c r="C291" s="1">
        <v>33</v>
      </c>
      <c r="D291" s="1" t="str">
        <f>VLOOKUP(Table1[[#This Row],[Age]],'Lookup &amp; Reference'!$G$2:$H$5,2,1)</f>
        <v>Low</v>
      </c>
      <c r="E291" s="1" t="s">
        <v>18</v>
      </c>
      <c r="F291" s="1" t="str">
        <f>_xlfn.CONCAT(LEFT(Table1[[#This Row],[Gender]],1),Table1[[#This Row],[Age]])</f>
        <v>M33</v>
      </c>
      <c r="G291" s="1" t="s">
        <v>13</v>
      </c>
      <c r="H291" s="1">
        <f>LEN(Table1[[#This Row],[Chest_Pain_Type]])</f>
        <v>11</v>
      </c>
      <c r="I291" s="1">
        <v>153</v>
      </c>
      <c r="J291" s="1" t="str" cm="1">
        <f t="array" ref="J29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1" s="1">
        <v>276</v>
      </c>
      <c r="L291" s="1" t="s">
        <v>16</v>
      </c>
      <c r="M291" s="1" t="str">
        <f>IF(Table1[[#This Row],[Fasting_Blood_Sugar]]="Yes","Diabetic Risk","Normal")</f>
        <v>Diabetic Risk</v>
      </c>
      <c r="N291" s="1" t="s">
        <v>20</v>
      </c>
      <c r="O291" s="1">
        <v>191</v>
      </c>
      <c r="P291" s="1" t="s">
        <v>16</v>
      </c>
      <c r="Q291" s="4" t="s">
        <v>16</v>
      </c>
      <c r="R291" s="1" t="str" cm="1">
        <f t="array" ref="R29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91" s="1">
        <f>IFERROR(Table1[[#This Row],[Cholesterol]]/Table1[[#This Row],[Max_Heart_Rate]],"")</f>
        <v>1.4450261780104712</v>
      </c>
    </row>
    <row r="292" spans="1:19">
      <c r="A292" s="3" t="s">
        <v>312</v>
      </c>
      <c r="B292" s="3" t="str">
        <f>RIGHT(Table1[[#This Row],[Patient_ID]],4)</f>
        <v>1290</v>
      </c>
      <c r="C292" s="1">
        <v>65</v>
      </c>
      <c r="D292" s="1" t="str">
        <f>VLOOKUP(Table1[[#This Row],[Age]],'Lookup &amp; Reference'!$G$2:$H$5,2,1)</f>
        <v>High</v>
      </c>
      <c r="E292" s="1" t="s">
        <v>12</v>
      </c>
      <c r="F292" s="1" t="str">
        <f>_xlfn.CONCAT(LEFT(Table1[[#This Row],[Gender]],1),Table1[[#This Row],[Age]])</f>
        <v>F65</v>
      </c>
      <c r="G292" s="1" t="s">
        <v>22</v>
      </c>
      <c r="H292" s="1">
        <f>LEN(Table1[[#This Row],[Chest_Pain_Type]])</f>
        <v>15</v>
      </c>
      <c r="I292" s="1">
        <v>177</v>
      </c>
      <c r="J292" s="1" t="str" cm="1">
        <f t="array" ref="J29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2" s="1">
        <v>275</v>
      </c>
      <c r="L292" s="1" t="s">
        <v>14</v>
      </c>
      <c r="M292" s="1" t="str">
        <f>IF(Table1[[#This Row],[Fasting_Blood_Sugar]]="Yes","Diabetic Risk","Normal")</f>
        <v>Normal</v>
      </c>
      <c r="N292" s="1" t="s">
        <v>15</v>
      </c>
      <c r="O292" s="1">
        <v>149</v>
      </c>
      <c r="P292" s="1" t="s">
        <v>16</v>
      </c>
      <c r="Q292" s="4" t="s">
        <v>16</v>
      </c>
      <c r="R292" s="1" t="str" cm="1">
        <f t="array" ref="R29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92" s="1">
        <f>IFERROR(Table1[[#This Row],[Cholesterol]]/Table1[[#This Row],[Max_Heart_Rate]],"")</f>
        <v>1.8456375838926173</v>
      </c>
    </row>
    <row r="293" spans="1:19">
      <c r="A293" s="3" t="s">
        <v>313</v>
      </c>
      <c r="B293" s="3" t="str">
        <f>RIGHT(Table1[[#This Row],[Patient_ID]],4)</f>
        <v>1291</v>
      </c>
      <c r="C293" s="1">
        <v>60</v>
      </c>
      <c r="D293" s="1" t="str">
        <f>VLOOKUP(Table1[[#This Row],[Age]],'Lookup &amp; Reference'!$G$2:$H$5,2,1)</f>
        <v>High</v>
      </c>
      <c r="E293" s="1" t="s">
        <v>18</v>
      </c>
      <c r="F293" s="1" t="str">
        <f>_xlfn.CONCAT(LEFT(Table1[[#This Row],[Gender]],1),Table1[[#This Row],[Age]])</f>
        <v>M60</v>
      </c>
      <c r="G293" s="1" t="s">
        <v>22</v>
      </c>
      <c r="H293" s="1">
        <f>LEN(Table1[[#This Row],[Chest_Pain_Type]])</f>
        <v>15</v>
      </c>
      <c r="I293" s="1">
        <v>124</v>
      </c>
      <c r="J293" s="1" t="str" cm="1">
        <f t="array" ref="J29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293" s="1">
        <v>154</v>
      </c>
      <c r="L293" s="1" t="s">
        <v>14</v>
      </c>
      <c r="M293" s="1" t="str">
        <f>IF(Table1[[#This Row],[Fasting_Blood_Sugar]]="Yes","Diabetic Risk","Normal")</f>
        <v>Normal</v>
      </c>
      <c r="N293" s="1" t="s">
        <v>20</v>
      </c>
      <c r="O293" s="1">
        <v>155</v>
      </c>
      <c r="P293" s="1" t="s">
        <v>16</v>
      </c>
      <c r="Q293" s="4" t="s">
        <v>16</v>
      </c>
      <c r="R293" s="1" t="str" cm="1">
        <f t="array" ref="R29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93" s="1">
        <f>IFERROR(Table1[[#This Row],[Cholesterol]]/Table1[[#This Row],[Max_Heart_Rate]],"")</f>
        <v>0.99354838709677418</v>
      </c>
    </row>
    <row r="294" spans="1:19">
      <c r="A294" s="3" t="s">
        <v>314</v>
      </c>
      <c r="B294" s="3" t="str">
        <f>RIGHT(Table1[[#This Row],[Patient_ID]],4)</f>
        <v>1292</v>
      </c>
      <c r="C294" s="1">
        <v>37</v>
      </c>
      <c r="D294" s="1" t="str">
        <f>VLOOKUP(Table1[[#This Row],[Age]],'Lookup &amp; Reference'!$G$2:$H$5,2,1)</f>
        <v>Low</v>
      </c>
      <c r="E294" s="1" t="s">
        <v>18</v>
      </c>
      <c r="F294" s="1" t="str">
        <f>_xlfn.CONCAT(LEFT(Table1[[#This Row],[Gender]],1),Table1[[#This Row],[Age]])</f>
        <v>M37</v>
      </c>
      <c r="G294" s="1" t="s">
        <v>25</v>
      </c>
      <c r="H294" s="1">
        <f>LEN(Table1[[#This Row],[Chest_Pain_Type]])</f>
        <v>12</v>
      </c>
      <c r="I294" s="1">
        <v>159</v>
      </c>
      <c r="J294" s="1" t="str" cm="1">
        <f t="array" ref="J29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4" s="1">
        <v>255</v>
      </c>
      <c r="L294" s="1" t="s">
        <v>14</v>
      </c>
      <c r="M294" s="1" t="str">
        <f>IF(Table1[[#This Row],[Fasting_Blood_Sugar]]="Yes","Diabetic Risk","Normal")</f>
        <v>Normal</v>
      </c>
      <c r="N294" s="1" t="s">
        <v>27</v>
      </c>
      <c r="O294" s="1">
        <v>155</v>
      </c>
      <c r="P294" s="1" t="s">
        <v>14</v>
      </c>
      <c r="Q294" s="4" t="s">
        <v>14</v>
      </c>
      <c r="R294" s="1" t="str" cm="1">
        <f t="array" ref="R29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94" s="1">
        <f>IFERROR(Table1[[#This Row],[Cholesterol]]/Table1[[#This Row],[Max_Heart_Rate]],"")</f>
        <v>1.6451612903225807</v>
      </c>
    </row>
    <row r="295" spans="1:19">
      <c r="A295" s="3" t="s">
        <v>315</v>
      </c>
      <c r="B295" s="3" t="str">
        <f>RIGHT(Table1[[#This Row],[Patient_ID]],4)</f>
        <v>1293</v>
      </c>
      <c r="C295" s="1">
        <v>69</v>
      </c>
      <c r="D295" s="1" t="str">
        <f>VLOOKUP(Table1[[#This Row],[Age]],'Lookup &amp; Reference'!$G$2:$H$5,2,1)</f>
        <v>High</v>
      </c>
      <c r="E295" s="1" t="s">
        <v>18</v>
      </c>
      <c r="F295" s="1" t="str">
        <f>_xlfn.CONCAT(LEFT(Table1[[#This Row],[Gender]],1),Table1[[#This Row],[Age]])</f>
        <v>M69</v>
      </c>
      <c r="G295" s="1" t="s">
        <v>22</v>
      </c>
      <c r="H295" s="1">
        <f>LEN(Table1[[#This Row],[Chest_Pain_Type]])</f>
        <v>15</v>
      </c>
      <c r="I295" s="1">
        <v>172</v>
      </c>
      <c r="J295" s="1" t="str" cm="1">
        <f t="array" ref="J29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5" s="1">
        <v>263</v>
      </c>
      <c r="L295" s="1" t="s">
        <v>16</v>
      </c>
      <c r="M295" s="1" t="str">
        <f>IF(Table1[[#This Row],[Fasting_Blood_Sugar]]="Yes","Diabetic Risk","Normal")</f>
        <v>Diabetic Risk</v>
      </c>
      <c r="N295" s="1" t="s">
        <v>27</v>
      </c>
      <c r="O295" s="1">
        <v>179</v>
      </c>
      <c r="P295" s="1" t="s">
        <v>16</v>
      </c>
      <c r="Q295" s="4" t="s">
        <v>14</v>
      </c>
      <c r="R295" s="1" t="str" cm="1">
        <f t="array" ref="R29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95" s="1">
        <f>IFERROR(Table1[[#This Row],[Cholesterol]]/Table1[[#This Row],[Max_Heart_Rate]],"")</f>
        <v>1.4692737430167597</v>
      </c>
    </row>
    <row r="296" spans="1:19">
      <c r="A296" s="3" t="s">
        <v>316</v>
      </c>
      <c r="B296" s="3" t="str">
        <f>RIGHT(Table1[[#This Row],[Patient_ID]],4)</f>
        <v>1294</v>
      </c>
      <c r="C296" s="1">
        <v>63</v>
      </c>
      <c r="D296" s="1" t="str">
        <f>VLOOKUP(Table1[[#This Row],[Age]],'Lookup &amp; Reference'!$G$2:$H$5,2,1)</f>
        <v>High</v>
      </c>
      <c r="E296" s="1" t="s">
        <v>18</v>
      </c>
      <c r="F296" s="1" t="str">
        <f>_xlfn.CONCAT(LEFT(Table1[[#This Row],[Gender]],1),Table1[[#This Row],[Age]])</f>
        <v>M63</v>
      </c>
      <c r="G296" s="1" t="s">
        <v>19</v>
      </c>
      <c r="H296" s="1">
        <f>LEN(Table1[[#This Row],[Chest_Pain_Type]])</f>
        <v>14</v>
      </c>
      <c r="I296" s="1">
        <v>119</v>
      </c>
      <c r="J296" s="1" t="str" cm="1">
        <f t="array" ref="J29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296" s="1">
        <v>225</v>
      </c>
      <c r="L296" s="1" t="s">
        <v>14</v>
      </c>
      <c r="M296" s="1" t="str">
        <f>IF(Table1[[#This Row],[Fasting_Blood_Sugar]]="Yes","Diabetic Risk","Normal")</f>
        <v>Normal</v>
      </c>
      <c r="N296" s="1" t="s">
        <v>20</v>
      </c>
      <c r="O296" s="1">
        <v>102</v>
      </c>
      <c r="P296" s="1" t="s">
        <v>16</v>
      </c>
      <c r="Q296" s="4" t="s">
        <v>14</v>
      </c>
      <c r="R296" s="1" t="str" cm="1">
        <f t="array" ref="R29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96" s="1">
        <f>IFERROR(Table1[[#This Row],[Cholesterol]]/Table1[[#This Row],[Max_Heart_Rate]],"")</f>
        <v>2.2058823529411766</v>
      </c>
    </row>
    <row r="297" spans="1:19">
      <c r="A297" s="3" t="s">
        <v>317</v>
      </c>
      <c r="B297" s="3" t="str">
        <f>RIGHT(Table1[[#This Row],[Patient_ID]],4)</f>
        <v>1295</v>
      </c>
      <c r="C297" s="1">
        <v>47</v>
      </c>
      <c r="D297" s="1" t="str">
        <f>VLOOKUP(Table1[[#This Row],[Age]],'Lookup &amp; Reference'!$G$2:$H$5,2,1)</f>
        <v>Medium</v>
      </c>
      <c r="E297" s="1" t="s">
        <v>12</v>
      </c>
      <c r="F297" s="1" t="str">
        <f>_xlfn.CONCAT(LEFT(Table1[[#This Row],[Gender]],1),Table1[[#This Row],[Age]])</f>
        <v>F47</v>
      </c>
      <c r="G297" s="1" t="s">
        <v>19</v>
      </c>
      <c r="H297" s="1">
        <f>LEN(Table1[[#This Row],[Chest_Pain_Type]])</f>
        <v>14</v>
      </c>
      <c r="I297" s="1">
        <v>160</v>
      </c>
      <c r="J297" s="1" t="str" cm="1">
        <f t="array" ref="J29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7" s="1">
        <v>283</v>
      </c>
      <c r="L297" s="1" t="s">
        <v>14</v>
      </c>
      <c r="M297" s="1" t="str">
        <f>IF(Table1[[#This Row],[Fasting_Blood_Sugar]]="Yes","Diabetic Risk","Normal")</f>
        <v>Normal</v>
      </c>
      <c r="N297" s="1" t="s">
        <v>27</v>
      </c>
      <c r="O297" s="1">
        <v>145</v>
      </c>
      <c r="P297" s="1" t="s">
        <v>16</v>
      </c>
      <c r="Q297" s="4" t="s">
        <v>16</v>
      </c>
      <c r="R297" s="1" t="str" cm="1">
        <f t="array" ref="R29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297" s="1">
        <f>IFERROR(Table1[[#This Row],[Cholesterol]]/Table1[[#This Row],[Max_Heart_Rate]],"")</f>
        <v>1.9517241379310344</v>
      </c>
    </row>
    <row r="298" spans="1:19">
      <c r="A298" s="3" t="s">
        <v>318</v>
      </c>
      <c r="B298" s="3" t="str">
        <f>RIGHT(Table1[[#This Row],[Patient_ID]],4)</f>
        <v>1296</v>
      </c>
      <c r="C298" s="1">
        <v>76</v>
      </c>
      <c r="D298" s="1" t="str">
        <f>VLOOKUP(Table1[[#This Row],[Age]],'Lookup &amp; Reference'!$G$2:$H$5,2,1)</f>
        <v>High</v>
      </c>
      <c r="E298" s="1" t="s">
        <v>12</v>
      </c>
      <c r="F298" s="1" t="str">
        <f>_xlfn.CONCAT(LEFT(Table1[[#This Row],[Gender]],1),Table1[[#This Row],[Age]])</f>
        <v>F76</v>
      </c>
      <c r="G298" s="1" t="s">
        <v>13</v>
      </c>
      <c r="H298" s="1">
        <f>LEN(Table1[[#This Row],[Chest_Pain_Type]])</f>
        <v>11</v>
      </c>
      <c r="I298" s="1">
        <v>163</v>
      </c>
      <c r="J298" s="1" t="str" cm="1">
        <f t="array" ref="J29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8" s="1">
        <v>277</v>
      </c>
      <c r="L298" s="1" t="s">
        <v>14</v>
      </c>
      <c r="M298" s="1" t="str">
        <f>IF(Table1[[#This Row],[Fasting_Blood_Sugar]]="Yes","Diabetic Risk","Normal")</f>
        <v>Normal</v>
      </c>
      <c r="N298" s="1" t="s">
        <v>20</v>
      </c>
      <c r="O298" s="1">
        <v>200</v>
      </c>
      <c r="P298" s="1" t="s">
        <v>16</v>
      </c>
      <c r="Q298" s="4" t="s">
        <v>16</v>
      </c>
      <c r="R298" s="1" t="str" cm="1">
        <f t="array" ref="R29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298" s="1">
        <f>IFERROR(Table1[[#This Row],[Cholesterol]]/Table1[[#This Row],[Max_Heart_Rate]],"")</f>
        <v>1.385</v>
      </c>
    </row>
    <row r="299" spans="1:19">
      <c r="A299" s="3" t="s">
        <v>319</v>
      </c>
      <c r="B299" s="3" t="str">
        <f>RIGHT(Table1[[#This Row],[Patient_ID]],4)</f>
        <v>1297</v>
      </c>
      <c r="C299" s="1">
        <v>44</v>
      </c>
      <c r="D299" s="1" t="str">
        <f>VLOOKUP(Table1[[#This Row],[Age]],'Lookup &amp; Reference'!$G$2:$H$5,2,1)</f>
        <v>Low</v>
      </c>
      <c r="E299" s="1" t="s">
        <v>18</v>
      </c>
      <c r="F299" s="1" t="str">
        <f>_xlfn.CONCAT(LEFT(Table1[[#This Row],[Gender]],1),Table1[[#This Row],[Age]])</f>
        <v>M44</v>
      </c>
      <c r="G299" s="1" t="s">
        <v>19</v>
      </c>
      <c r="H299" s="1">
        <f>LEN(Table1[[#This Row],[Chest_Pain_Type]])</f>
        <v>14</v>
      </c>
      <c r="I299" s="1">
        <v>185</v>
      </c>
      <c r="J299" s="1" t="str" cm="1">
        <f t="array" ref="J29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299" s="1">
        <v>265</v>
      </c>
      <c r="L299" s="1" t="s">
        <v>14</v>
      </c>
      <c r="M299" s="1" t="str">
        <f>IF(Table1[[#This Row],[Fasting_Blood_Sugar]]="Yes","Diabetic Risk","Normal")</f>
        <v>Normal</v>
      </c>
      <c r="N299" s="1" t="s">
        <v>27</v>
      </c>
      <c r="O299" s="1">
        <v>120</v>
      </c>
      <c r="P299" s="1" t="s">
        <v>14</v>
      </c>
      <c r="Q299" s="4" t="s">
        <v>14</v>
      </c>
      <c r="R299" s="1" t="str" cm="1">
        <f t="array" ref="R29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299" s="1">
        <f>IFERROR(Table1[[#This Row],[Cholesterol]]/Table1[[#This Row],[Max_Heart_Rate]],"")</f>
        <v>2.2083333333333335</v>
      </c>
    </row>
    <row r="300" spans="1:19">
      <c r="A300" s="3" t="s">
        <v>320</v>
      </c>
      <c r="B300" s="3" t="str">
        <f>RIGHT(Table1[[#This Row],[Patient_ID]],4)</f>
        <v>1298</v>
      </c>
      <c r="C300" s="1">
        <v>31</v>
      </c>
      <c r="D300" s="1" t="str">
        <f>VLOOKUP(Table1[[#This Row],[Age]],'Lookup &amp; Reference'!$G$2:$H$5,2,1)</f>
        <v>Low</v>
      </c>
      <c r="E300" s="1" t="s">
        <v>18</v>
      </c>
      <c r="F300" s="1" t="str">
        <f>_xlfn.CONCAT(LEFT(Table1[[#This Row],[Gender]],1),Table1[[#This Row],[Age]])</f>
        <v>M31</v>
      </c>
      <c r="G300" s="1" t="s">
        <v>25</v>
      </c>
      <c r="H300" s="1">
        <f>LEN(Table1[[#This Row],[Chest_Pain_Type]])</f>
        <v>12</v>
      </c>
      <c r="I300" s="1">
        <v>187</v>
      </c>
      <c r="J300" s="1" t="str" cm="1">
        <f t="array" ref="J30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0" s="1">
        <v>121</v>
      </c>
      <c r="L300" s="1" t="s">
        <v>14</v>
      </c>
      <c r="M300" s="1" t="str">
        <f>IF(Table1[[#This Row],[Fasting_Blood_Sugar]]="Yes","Diabetic Risk","Normal")</f>
        <v>Normal</v>
      </c>
      <c r="N300" s="1" t="s">
        <v>15</v>
      </c>
      <c r="O300" s="1">
        <v>123</v>
      </c>
      <c r="P300" s="1" t="s">
        <v>14</v>
      </c>
      <c r="Q300" s="4" t="s">
        <v>14</v>
      </c>
      <c r="R300" s="1" t="str" cm="1">
        <f t="array" ref="R30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00" s="1">
        <f>IFERROR(Table1[[#This Row],[Cholesterol]]/Table1[[#This Row],[Max_Heart_Rate]],"")</f>
        <v>0.98373983739837401</v>
      </c>
    </row>
    <row r="301" spans="1:19">
      <c r="A301" s="3" t="s">
        <v>321</v>
      </c>
      <c r="B301" s="3" t="str">
        <f>RIGHT(Table1[[#This Row],[Patient_ID]],4)</f>
        <v>1299</v>
      </c>
      <c r="C301" s="1">
        <v>48</v>
      </c>
      <c r="D301" s="1" t="str">
        <f>VLOOKUP(Table1[[#This Row],[Age]],'Lookup &amp; Reference'!$G$2:$H$5,2,1)</f>
        <v>Medium</v>
      </c>
      <c r="E301" s="1" t="s">
        <v>12</v>
      </c>
      <c r="F301" s="1" t="str">
        <f>_xlfn.CONCAT(LEFT(Table1[[#This Row],[Gender]],1),Table1[[#This Row],[Age]])</f>
        <v>F48</v>
      </c>
      <c r="G301" s="1" t="s">
        <v>19</v>
      </c>
      <c r="H301" s="1">
        <f>LEN(Table1[[#This Row],[Chest_Pain_Type]])</f>
        <v>14</v>
      </c>
      <c r="I301" s="1">
        <v>152</v>
      </c>
      <c r="J301" s="1" t="str" cm="1">
        <f t="array" ref="J30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1" s="1">
        <v>296</v>
      </c>
      <c r="L301" s="1" t="s">
        <v>16</v>
      </c>
      <c r="M301" s="1" t="str">
        <f>IF(Table1[[#This Row],[Fasting_Blood_Sugar]]="Yes","Diabetic Risk","Normal")</f>
        <v>Diabetic Risk</v>
      </c>
      <c r="N301" s="1" t="s">
        <v>15</v>
      </c>
      <c r="O301" s="1">
        <v>128</v>
      </c>
      <c r="P301" s="1" t="s">
        <v>16</v>
      </c>
      <c r="Q301" s="4" t="s">
        <v>16</v>
      </c>
      <c r="R301" s="1" t="str" cm="1">
        <f t="array" ref="R30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01" s="1">
        <f>IFERROR(Table1[[#This Row],[Cholesterol]]/Table1[[#This Row],[Max_Heart_Rate]],"")</f>
        <v>2.3125</v>
      </c>
    </row>
    <row r="302" spans="1:19">
      <c r="A302" s="3" t="s">
        <v>322</v>
      </c>
      <c r="B302" s="3" t="str">
        <f>RIGHT(Table1[[#This Row],[Patient_ID]],4)</f>
        <v>1300</v>
      </c>
      <c r="C302" s="1">
        <v>52</v>
      </c>
      <c r="D302" s="1" t="str">
        <f>VLOOKUP(Table1[[#This Row],[Age]],'Lookup &amp; Reference'!$G$2:$H$5,2,1)</f>
        <v>Medium</v>
      </c>
      <c r="E302" s="1" t="s">
        <v>12</v>
      </c>
      <c r="F302" s="1" t="str">
        <f>_xlfn.CONCAT(LEFT(Table1[[#This Row],[Gender]],1),Table1[[#This Row],[Age]])</f>
        <v>F52</v>
      </c>
      <c r="G302" s="1" t="s">
        <v>19</v>
      </c>
      <c r="H302" s="1">
        <f>LEN(Table1[[#This Row],[Chest_Pain_Type]])</f>
        <v>14</v>
      </c>
      <c r="I302" s="1">
        <v>117</v>
      </c>
      <c r="J302" s="1" t="str" cm="1">
        <f t="array" ref="J30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02" s="1">
        <v>196</v>
      </c>
      <c r="L302" s="1" t="s">
        <v>14</v>
      </c>
      <c r="M302" s="1" t="str">
        <f>IF(Table1[[#This Row],[Fasting_Blood_Sugar]]="Yes","Diabetic Risk","Normal")</f>
        <v>Normal</v>
      </c>
      <c r="N302" s="1" t="s">
        <v>20</v>
      </c>
      <c r="O302" s="1">
        <v>156</v>
      </c>
      <c r="P302" s="1" t="s">
        <v>16</v>
      </c>
      <c r="Q302" s="4" t="s">
        <v>14</v>
      </c>
      <c r="R302" s="1" t="str" cm="1">
        <f t="array" ref="R30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02" s="1">
        <f>IFERROR(Table1[[#This Row],[Cholesterol]]/Table1[[#This Row],[Max_Heart_Rate]],"")</f>
        <v>1.2564102564102564</v>
      </c>
    </row>
    <row r="303" spans="1:19">
      <c r="A303" s="3" t="s">
        <v>323</v>
      </c>
      <c r="B303" s="3" t="str">
        <f>RIGHT(Table1[[#This Row],[Patient_ID]],4)</f>
        <v>1301</v>
      </c>
      <c r="C303" s="1">
        <v>61</v>
      </c>
      <c r="D303" s="1" t="str">
        <f>VLOOKUP(Table1[[#This Row],[Age]],'Lookup &amp; Reference'!$G$2:$H$5,2,1)</f>
        <v>High</v>
      </c>
      <c r="E303" s="1" t="s">
        <v>12</v>
      </c>
      <c r="F303" s="1" t="str">
        <f>_xlfn.CONCAT(LEFT(Table1[[#This Row],[Gender]],1),Table1[[#This Row],[Age]])</f>
        <v>F61</v>
      </c>
      <c r="G303" s="1" t="s">
        <v>25</v>
      </c>
      <c r="H303" s="1">
        <f>LEN(Table1[[#This Row],[Chest_Pain_Type]])</f>
        <v>12</v>
      </c>
      <c r="I303" s="1">
        <v>149</v>
      </c>
      <c r="J303" s="1" t="str" cm="1">
        <f t="array" ref="J30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3" s="1">
        <v>251</v>
      </c>
      <c r="L303" s="1" t="s">
        <v>14</v>
      </c>
      <c r="M303" s="1" t="str">
        <f>IF(Table1[[#This Row],[Fasting_Blood_Sugar]]="Yes","Diabetic Risk","Normal")</f>
        <v>Normal</v>
      </c>
      <c r="N303" s="1" t="s">
        <v>20</v>
      </c>
      <c r="O303" s="1">
        <v>97</v>
      </c>
      <c r="P303" s="1" t="s">
        <v>14</v>
      </c>
      <c r="Q303" s="4" t="s">
        <v>16</v>
      </c>
      <c r="R303" s="1" t="str" cm="1">
        <f t="array" ref="R30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03" s="1">
        <f>IFERROR(Table1[[#This Row],[Cholesterol]]/Table1[[#This Row],[Max_Heart_Rate]],"")</f>
        <v>2.5876288659793816</v>
      </c>
    </row>
    <row r="304" spans="1:19">
      <c r="A304" s="3" t="s">
        <v>324</v>
      </c>
      <c r="B304" s="3" t="str">
        <f>RIGHT(Table1[[#This Row],[Patient_ID]],4)</f>
        <v>1302</v>
      </c>
      <c r="C304" s="1">
        <v>52</v>
      </c>
      <c r="D304" s="1" t="str">
        <f>VLOOKUP(Table1[[#This Row],[Age]],'Lookup &amp; Reference'!$G$2:$H$5,2,1)</f>
        <v>Medium</v>
      </c>
      <c r="E304" s="1" t="s">
        <v>12</v>
      </c>
      <c r="F304" s="1" t="str">
        <f>_xlfn.CONCAT(LEFT(Table1[[#This Row],[Gender]],1),Table1[[#This Row],[Age]])</f>
        <v>F52</v>
      </c>
      <c r="G304" s="1" t="s">
        <v>22</v>
      </c>
      <c r="H304" s="1">
        <f>LEN(Table1[[#This Row],[Chest_Pain_Type]])</f>
        <v>15</v>
      </c>
      <c r="I304" s="1">
        <v>168</v>
      </c>
      <c r="J304" s="1" t="str" cm="1">
        <f t="array" ref="J30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4" s="1">
        <v>209</v>
      </c>
      <c r="L304" s="1" t="s">
        <v>16</v>
      </c>
      <c r="M304" s="1" t="str">
        <f>IF(Table1[[#This Row],[Fasting_Blood_Sugar]]="Yes","Diabetic Risk","Normal")</f>
        <v>Diabetic Risk</v>
      </c>
      <c r="N304" s="1" t="s">
        <v>20</v>
      </c>
      <c r="O304" s="1">
        <v>176</v>
      </c>
      <c r="P304" s="1" t="s">
        <v>14</v>
      </c>
      <c r="Q304" s="4" t="s">
        <v>16</v>
      </c>
      <c r="R304" s="1" t="str" cm="1">
        <f t="array" ref="R30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04" s="1">
        <f>IFERROR(Table1[[#This Row],[Cholesterol]]/Table1[[#This Row],[Max_Heart_Rate]],"")</f>
        <v>1.1875</v>
      </c>
    </row>
    <row r="305" spans="1:19">
      <c r="A305" s="3" t="s">
        <v>325</v>
      </c>
      <c r="B305" s="3" t="str">
        <f>RIGHT(Table1[[#This Row],[Patient_ID]],4)</f>
        <v>1303</v>
      </c>
      <c r="C305" s="1">
        <v>39</v>
      </c>
      <c r="D305" s="1" t="str">
        <f>VLOOKUP(Table1[[#This Row],[Age]],'Lookup &amp; Reference'!$G$2:$H$5,2,1)</f>
        <v>Low</v>
      </c>
      <c r="E305" s="1" t="s">
        <v>18</v>
      </c>
      <c r="F305" s="1" t="str">
        <f>_xlfn.CONCAT(LEFT(Table1[[#This Row],[Gender]],1),Table1[[#This Row],[Age]])</f>
        <v>M39</v>
      </c>
      <c r="G305" s="1" t="s">
        <v>22</v>
      </c>
      <c r="H305" s="1">
        <f>LEN(Table1[[#This Row],[Chest_Pain_Type]])</f>
        <v>15</v>
      </c>
      <c r="I305" s="1">
        <v>183</v>
      </c>
      <c r="J305" s="1" t="str" cm="1">
        <f t="array" ref="J30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5" s="1">
        <v>208</v>
      </c>
      <c r="L305" s="1" t="s">
        <v>14</v>
      </c>
      <c r="M305" s="1" t="str">
        <f>IF(Table1[[#This Row],[Fasting_Blood_Sugar]]="Yes","Diabetic Risk","Normal")</f>
        <v>Normal</v>
      </c>
      <c r="N305" s="1" t="s">
        <v>27</v>
      </c>
      <c r="O305" s="1">
        <v>167</v>
      </c>
      <c r="P305" s="1" t="s">
        <v>16</v>
      </c>
      <c r="Q305" s="4" t="s">
        <v>16</v>
      </c>
      <c r="R305" s="1" t="str" cm="1">
        <f t="array" ref="R30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05" s="1">
        <f>IFERROR(Table1[[#This Row],[Cholesterol]]/Table1[[#This Row],[Max_Heart_Rate]],"")</f>
        <v>1.2455089820359282</v>
      </c>
    </row>
    <row r="306" spans="1:19">
      <c r="A306" s="3" t="s">
        <v>326</v>
      </c>
      <c r="B306" s="3" t="str">
        <f>RIGHT(Table1[[#This Row],[Patient_ID]],4)</f>
        <v>1304</v>
      </c>
      <c r="C306" s="1">
        <v>77</v>
      </c>
      <c r="D306" s="1" t="str">
        <f>VLOOKUP(Table1[[#This Row],[Age]],'Lookup &amp; Reference'!$G$2:$H$5,2,1)</f>
        <v>High</v>
      </c>
      <c r="E306" s="1" t="s">
        <v>12</v>
      </c>
      <c r="F306" s="1" t="str">
        <f>_xlfn.CONCAT(LEFT(Table1[[#This Row],[Gender]],1),Table1[[#This Row],[Age]])</f>
        <v>F77</v>
      </c>
      <c r="G306" s="1" t="s">
        <v>25</v>
      </c>
      <c r="H306" s="1">
        <f>LEN(Table1[[#This Row],[Chest_Pain_Type]])</f>
        <v>12</v>
      </c>
      <c r="I306" s="1">
        <v>126</v>
      </c>
      <c r="J306" s="1" t="str" cm="1">
        <f t="array" ref="J30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06" s="1">
        <v>213</v>
      </c>
      <c r="L306" s="1" t="s">
        <v>16</v>
      </c>
      <c r="M306" s="1" t="str">
        <f>IF(Table1[[#This Row],[Fasting_Blood_Sugar]]="Yes","Diabetic Risk","Normal")</f>
        <v>Diabetic Risk</v>
      </c>
      <c r="N306" s="1" t="s">
        <v>20</v>
      </c>
      <c r="O306" s="1">
        <v>209</v>
      </c>
      <c r="P306" s="1" t="s">
        <v>14</v>
      </c>
      <c r="Q306" s="4" t="s">
        <v>14</v>
      </c>
      <c r="R306" s="1" t="str" cm="1">
        <f t="array" ref="R30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06" s="1">
        <f>IFERROR(Table1[[#This Row],[Cholesterol]]/Table1[[#This Row],[Max_Heart_Rate]],"")</f>
        <v>1.0191387559808613</v>
      </c>
    </row>
    <row r="307" spans="1:19">
      <c r="A307" s="3" t="s">
        <v>327</v>
      </c>
      <c r="B307" s="3" t="str">
        <f>RIGHT(Table1[[#This Row],[Patient_ID]],4)</f>
        <v>1305</v>
      </c>
      <c r="C307" s="1">
        <v>36</v>
      </c>
      <c r="D307" s="1" t="str">
        <f>VLOOKUP(Table1[[#This Row],[Age]],'Lookup &amp; Reference'!$G$2:$H$5,2,1)</f>
        <v>Low</v>
      </c>
      <c r="E307" s="1" t="s">
        <v>18</v>
      </c>
      <c r="F307" s="1" t="str">
        <f>_xlfn.CONCAT(LEFT(Table1[[#This Row],[Gender]],1),Table1[[#This Row],[Age]])</f>
        <v>M36</v>
      </c>
      <c r="G307" s="1" t="s">
        <v>13</v>
      </c>
      <c r="H307" s="1">
        <f>LEN(Table1[[#This Row],[Chest_Pain_Type]])</f>
        <v>11</v>
      </c>
      <c r="I307" s="1">
        <v>182</v>
      </c>
      <c r="J307" s="1" t="str" cm="1">
        <f t="array" ref="J30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7" s="1">
        <v>322</v>
      </c>
      <c r="L307" s="1" t="s">
        <v>14</v>
      </c>
      <c r="M307" s="1" t="str">
        <f>IF(Table1[[#This Row],[Fasting_Blood_Sugar]]="Yes","Diabetic Risk","Normal")</f>
        <v>Normal</v>
      </c>
      <c r="N307" s="1" t="s">
        <v>15</v>
      </c>
      <c r="O307" s="1">
        <v>144</v>
      </c>
      <c r="P307" s="1" t="s">
        <v>14</v>
      </c>
      <c r="Q307" s="4" t="s">
        <v>14</v>
      </c>
      <c r="R307" s="1" t="str" cm="1">
        <f t="array" ref="R30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07" s="1">
        <f>IFERROR(Table1[[#This Row],[Cholesterol]]/Table1[[#This Row],[Max_Heart_Rate]],"")</f>
        <v>2.2361111111111112</v>
      </c>
    </row>
    <row r="308" spans="1:19">
      <c r="A308" s="3" t="s">
        <v>328</v>
      </c>
      <c r="B308" s="3" t="str">
        <f>RIGHT(Table1[[#This Row],[Patient_ID]],4)</f>
        <v>1306</v>
      </c>
      <c r="C308" s="1">
        <v>64</v>
      </c>
      <c r="D308" s="1" t="str">
        <f>VLOOKUP(Table1[[#This Row],[Age]],'Lookup &amp; Reference'!$G$2:$H$5,2,1)</f>
        <v>High</v>
      </c>
      <c r="E308" s="1" t="s">
        <v>12</v>
      </c>
      <c r="F308" s="1" t="str">
        <f>_xlfn.CONCAT(LEFT(Table1[[#This Row],[Gender]],1),Table1[[#This Row],[Age]])</f>
        <v>F64</v>
      </c>
      <c r="G308" s="1" t="s">
        <v>19</v>
      </c>
      <c r="H308" s="1">
        <f>LEN(Table1[[#This Row],[Chest_Pain_Type]])</f>
        <v>14</v>
      </c>
      <c r="I308" s="1">
        <v>111</v>
      </c>
      <c r="J308" s="1" t="str" cm="1">
        <f t="array" ref="J30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08" s="1">
        <v>126</v>
      </c>
      <c r="L308" s="1" t="s">
        <v>16</v>
      </c>
      <c r="M308" s="1" t="str">
        <f>IF(Table1[[#This Row],[Fasting_Blood_Sugar]]="Yes","Diabetic Risk","Normal")</f>
        <v>Diabetic Risk</v>
      </c>
      <c r="N308" s="1" t="s">
        <v>27</v>
      </c>
      <c r="O308" s="1">
        <v>116</v>
      </c>
      <c r="P308" s="1" t="s">
        <v>16</v>
      </c>
      <c r="Q308" s="4" t="s">
        <v>16</v>
      </c>
      <c r="R308" s="1" t="str" cm="1">
        <f t="array" ref="R30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08" s="1">
        <f>IFERROR(Table1[[#This Row],[Cholesterol]]/Table1[[#This Row],[Max_Heart_Rate]],"")</f>
        <v>1.0862068965517242</v>
      </c>
    </row>
    <row r="309" spans="1:19">
      <c r="A309" s="3" t="s">
        <v>329</v>
      </c>
      <c r="B309" s="3" t="str">
        <f>RIGHT(Table1[[#This Row],[Patient_ID]],4)</f>
        <v>1307</v>
      </c>
      <c r="C309" s="1">
        <v>66</v>
      </c>
      <c r="D309" s="1" t="str">
        <f>VLOOKUP(Table1[[#This Row],[Age]],'Lookup &amp; Reference'!$G$2:$H$5,2,1)</f>
        <v>High</v>
      </c>
      <c r="E309" s="1" t="s">
        <v>12</v>
      </c>
      <c r="F309" s="1" t="str">
        <f>_xlfn.CONCAT(LEFT(Table1[[#This Row],[Gender]],1),Table1[[#This Row],[Age]])</f>
        <v>F66</v>
      </c>
      <c r="G309" s="1" t="s">
        <v>25</v>
      </c>
      <c r="H309" s="1">
        <f>LEN(Table1[[#This Row],[Chest_Pain_Type]])</f>
        <v>12</v>
      </c>
      <c r="I309" s="1">
        <v>157</v>
      </c>
      <c r="J309" s="1" t="str" cm="1">
        <f t="array" ref="J30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09" s="1">
        <v>214</v>
      </c>
      <c r="L309" s="1" t="s">
        <v>16</v>
      </c>
      <c r="M309" s="1" t="str">
        <f>IF(Table1[[#This Row],[Fasting_Blood_Sugar]]="Yes","Diabetic Risk","Normal")</f>
        <v>Diabetic Risk</v>
      </c>
      <c r="N309" s="1" t="s">
        <v>20</v>
      </c>
      <c r="O309" s="1">
        <v>207</v>
      </c>
      <c r="P309" s="1" t="s">
        <v>14</v>
      </c>
      <c r="Q309" s="4" t="s">
        <v>14</v>
      </c>
      <c r="R309" s="1" t="str" cm="1">
        <f t="array" ref="R30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09" s="1">
        <f>IFERROR(Table1[[#This Row],[Cholesterol]]/Table1[[#This Row],[Max_Heart_Rate]],"")</f>
        <v>1.0338164251207729</v>
      </c>
    </row>
    <row r="310" spans="1:19">
      <c r="A310" s="3" t="s">
        <v>330</v>
      </c>
      <c r="B310" s="3" t="str">
        <f>RIGHT(Table1[[#This Row],[Patient_ID]],4)</f>
        <v>1308</v>
      </c>
      <c r="C310" s="1">
        <v>68</v>
      </c>
      <c r="D310" s="1" t="str">
        <f>VLOOKUP(Table1[[#This Row],[Age]],'Lookup &amp; Reference'!$G$2:$H$5,2,1)</f>
        <v>High</v>
      </c>
      <c r="E310" s="1" t="s">
        <v>12</v>
      </c>
      <c r="F310" s="1" t="str">
        <f>_xlfn.CONCAT(LEFT(Table1[[#This Row],[Gender]],1),Table1[[#This Row],[Age]])</f>
        <v>F68</v>
      </c>
      <c r="G310" s="1" t="s">
        <v>19</v>
      </c>
      <c r="H310" s="1">
        <f>LEN(Table1[[#This Row],[Chest_Pain_Type]])</f>
        <v>14</v>
      </c>
      <c r="I310" s="1">
        <v>109</v>
      </c>
      <c r="J310" s="1" t="str" cm="1">
        <f t="array" ref="J31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10" s="1">
        <v>227</v>
      </c>
      <c r="L310" s="1" t="s">
        <v>14</v>
      </c>
      <c r="M310" s="1" t="str">
        <f>IF(Table1[[#This Row],[Fasting_Blood_Sugar]]="Yes","Diabetic Risk","Normal")</f>
        <v>Normal</v>
      </c>
      <c r="N310" s="1" t="s">
        <v>27</v>
      </c>
      <c r="O310" s="1">
        <v>182</v>
      </c>
      <c r="P310" s="1" t="s">
        <v>14</v>
      </c>
      <c r="Q310" s="4" t="s">
        <v>16</v>
      </c>
      <c r="R310" s="1" t="str" cm="1">
        <f t="array" ref="R31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10" s="1">
        <f>IFERROR(Table1[[#This Row],[Cholesterol]]/Table1[[#This Row],[Max_Heart_Rate]],"")</f>
        <v>1.2472527472527473</v>
      </c>
    </row>
    <row r="311" spans="1:19">
      <c r="A311" s="3" t="s">
        <v>331</v>
      </c>
      <c r="B311" s="3" t="str">
        <f>RIGHT(Table1[[#This Row],[Patient_ID]],4)</f>
        <v>1309</v>
      </c>
      <c r="C311" s="1">
        <v>48</v>
      </c>
      <c r="D311" s="1" t="str">
        <f>VLOOKUP(Table1[[#This Row],[Age]],'Lookup &amp; Reference'!$G$2:$H$5,2,1)</f>
        <v>Medium</v>
      </c>
      <c r="E311" s="1" t="s">
        <v>12</v>
      </c>
      <c r="F311" s="1" t="str">
        <f>_xlfn.CONCAT(LEFT(Table1[[#This Row],[Gender]],1),Table1[[#This Row],[Age]])</f>
        <v>F48</v>
      </c>
      <c r="G311" s="1" t="s">
        <v>13</v>
      </c>
      <c r="H311" s="1">
        <f>LEN(Table1[[#This Row],[Chest_Pain_Type]])</f>
        <v>11</v>
      </c>
      <c r="I311" s="1">
        <v>185</v>
      </c>
      <c r="J311" s="1" t="str" cm="1">
        <f t="array" ref="J31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11" s="1">
        <v>193</v>
      </c>
      <c r="L311" s="1" t="s">
        <v>14</v>
      </c>
      <c r="M311" s="1" t="str">
        <f>IF(Table1[[#This Row],[Fasting_Blood_Sugar]]="Yes","Diabetic Risk","Normal")</f>
        <v>Normal</v>
      </c>
      <c r="N311" s="1" t="s">
        <v>27</v>
      </c>
      <c r="O311" s="1">
        <v>192</v>
      </c>
      <c r="P311" s="1" t="s">
        <v>16</v>
      </c>
      <c r="Q311" s="4" t="s">
        <v>16</v>
      </c>
      <c r="R311" s="1" t="str" cm="1">
        <f t="array" ref="R31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11" s="1">
        <f>IFERROR(Table1[[#This Row],[Cholesterol]]/Table1[[#This Row],[Max_Heart_Rate]],"")</f>
        <v>1.0052083333333333</v>
      </c>
    </row>
    <row r="312" spans="1:19">
      <c r="A312" s="3" t="s">
        <v>332</v>
      </c>
      <c r="B312" s="3" t="str">
        <f>RIGHT(Table1[[#This Row],[Patient_ID]],4)</f>
        <v>1310</v>
      </c>
      <c r="C312" s="1">
        <v>63</v>
      </c>
      <c r="D312" s="1" t="str">
        <f>VLOOKUP(Table1[[#This Row],[Age]],'Lookup &amp; Reference'!$G$2:$H$5,2,1)</f>
        <v>High</v>
      </c>
      <c r="E312" s="1" t="s">
        <v>12</v>
      </c>
      <c r="F312" s="1" t="str">
        <f>_xlfn.CONCAT(LEFT(Table1[[#This Row],[Gender]],1),Table1[[#This Row],[Age]])</f>
        <v>F63</v>
      </c>
      <c r="G312" s="1" t="s">
        <v>19</v>
      </c>
      <c r="H312" s="1">
        <f>LEN(Table1[[#This Row],[Chest_Pain_Type]])</f>
        <v>14</v>
      </c>
      <c r="I312" s="1">
        <v>189</v>
      </c>
      <c r="J312" s="1" t="str" cm="1">
        <f t="array" ref="J31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12" s="1">
        <v>158</v>
      </c>
      <c r="L312" s="1" t="s">
        <v>14</v>
      </c>
      <c r="M312" s="1" t="str">
        <f>IF(Table1[[#This Row],[Fasting_Blood_Sugar]]="Yes","Diabetic Risk","Normal")</f>
        <v>Normal</v>
      </c>
      <c r="N312" s="1" t="s">
        <v>20</v>
      </c>
      <c r="O312" s="1">
        <v>142</v>
      </c>
      <c r="P312" s="1" t="s">
        <v>16</v>
      </c>
      <c r="Q312" s="4" t="s">
        <v>16</v>
      </c>
      <c r="R312" s="1" t="str" cm="1">
        <f t="array" ref="R31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12" s="1">
        <f>IFERROR(Table1[[#This Row],[Cholesterol]]/Table1[[#This Row],[Max_Heart_Rate]],"")</f>
        <v>1.1126760563380282</v>
      </c>
    </row>
    <row r="313" spans="1:19">
      <c r="A313" s="3" t="s">
        <v>333</v>
      </c>
      <c r="B313" s="3" t="str">
        <f>RIGHT(Table1[[#This Row],[Patient_ID]],4)</f>
        <v>1311</v>
      </c>
      <c r="C313" s="1">
        <v>76</v>
      </c>
      <c r="D313" s="1" t="str">
        <f>VLOOKUP(Table1[[#This Row],[Age]],'Lookup &amp; Reference'!$G$2:$H$5,2,1)</f>
        <v>High</v>
      </c>
      <c r="E313" s="1" t="s">
        <v>18</v>
      </c>
      <c r="F313" s="1" t="str">
        <f>_xlfn.CONCAT(LEFT(Table1[[#This Row],[Gender]],1),Table1[[#This Row],[Age]])</f>
        <v>M76</v>
      </c>
      <c r="G313" s="1" t="s">
        <v>25</v>
      </c>
      <c r="H313" s="1">
        <f>LEN(Table1[[#This Row],[Chest_Pain_Type]])</f>
        <v>12</v>
      </c>
      <c r="I313" s="1">
        <v>157</v>
      </c>
      <c r="J313" s="1" t="str" cm="1">
        <f t="array" ref="J31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13" s="1">
        <v>260</v>
      </c>
      <c r="L313" s="1" t="s">
        <v>16</v>
      </c>
      <c r="M313" s="1" t="str">
        <f>IF(Table1[[#This Row],[Fasting_Blood_Sugar]]="Yes","Diabetic Risk","Normal")</f>
        <v>Diabetic Risk</v>
      </c>
      <c r="N313" s="1" t="s">
        <v>27</v>
      </c>
      <c r="O313" s="1">
        <v>128</v>
      </c>
      <c r="P313" s="1" t="s">
        <v>14</v>
      </c>
      <c r="Q313" s="4" t="s">
        <v>16</v>
      </c>
      <c r="R313" s="1" t="str" cm="1">
        <f t="array" ref="R31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13" s="1">
        <f>IFERROR(Table1[[#This Row],[Cholesterol]]/Table1[[#This Row],[Max_Heart_Rate]],"")</f>
        <v>2.03125</v>
      </c>
    </row>
    <row r="314" spans="1:19">
      <c r="A314" s="3" t="s">
        <v>334</v>
      </c>
      <c r="B314" s="3" t="str">
        <f>RIGHT(Table1[[#This Row],[Patient_ID]],4)</f>
        <v>1312</v>
      </c>
      <c r="C314" s="1">
        <v>53</v>
      </c>
      <c r="D314" s="1" t="str">
        <f>VLOOKUP(Table1[[#This Row],[Age]],'Lookup &amp; Reference'!$G$2:$H$5,2,1)</f>
        <v>Medium</v>
      </c>
      <c r="E314" s="1" t="s">
        <v>18</v>
      </c>
      <c r="F314" s="1" t="str">
        <f>_xlfn.CONCAT(LEFT(Table1[[#This Row],[Gender]],1),Table1[[#This Row],[Age]])</f>
        <v>M53</v>
      </c>
      <c r="G314" s="1" t="s">
        <v>19</v>
      </c>
      <c r="H314" s="1">
        <f>LEN(Table1[[#This Row],[Chest_Pain_Type]])</f>
        <v>14</v>
      </c>
      <c r="I314" s="1">
        <v>180</v>
      </c>
      <c r="J314" s="1" t="str" cm="1">
        <f t="array" ref="J31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14" s="1">
        <v>278</v>
      </c>
      <c r="L314" s="1" t="s">
        <v>16</v>
      </c>
      <c r="M314" s="1" t="str">
        <f>IF(Table1[[#This Row],[Fasting_Blood_Sugar]]="Yes","Diabetic Risk","Normal")</f>
        <v>Diabetic Risk</v>
      </c>
      <c r="N314" s="1" t="s">
        <v>15</v>
      </c>
      <c r="O314" s="1">
        <v>154</v>
      </c>
      <c r="P314" s="1" t="s">
        <v>16</v>
      </c>
      <c r="Q314" s="4" t="s">
        <v>14</v>
      </c>
      <c r="R314" s="1" t="str" cm="1">
        <f t="array" ref="R31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14" s="1">
        <f>IFERROR(Table1[[#This Row],[Cholesterol]]/Table1[[#This Row],[Max_Heart_Rate]],"")</f>
        <v>1.8051948051948052</v>
      </c>
    </row>
    <row r="315" spans="1:19">
      <c r="A315" s="3" t="s">
        <v>335</v>
      </c>
      <c r="B315" s="3" t="str">
        <f>RIGHT(Table1[[#This Row],[Patient_ID]],4)</f>
        <v>1313</v>
      </c>
      <c r="C315" s="1">
        <v>63</v>
      </c>
      <c r="D315" s="1" t="str">
        <f>VLOOKUP(Table1[[#This Row],[Age]],'Lookup &amp; Reference'!$G$2:$H$5,2,1)</f>
        <v>High</v>
      </c>
      <c r="E315" s="1" t="s">
        <v>12</v>
      </c>
      <c r="F315" s="1" t="str">
        <f>_xlfn.CONCAT(LEFT(Table1[[#This Row],[Gender]],1),Table1[[#This Row],[Age]])</f>
        <v>F63</v>
      </c>
      <c r="G315" s="1" t="s">
        <v>22</v>
      </c>
      <c r="H315" s="1">
        <f>LEN(Table1[[#This Row],[Chest_Pain_Type]])</f>
        <v>15</v>
      </c>
      <c r="I315" s="1">
        <v>153</v>
      </c>
      <c r="J315" s="1" t="str" cm="1">
        <f t="array" ref="J31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15" s="1">
        <v>190</v>
      </c>
      <c r="L315" s="1" t="s">
        <v>16</v>
      </c>
      <c r="M315" s="1" t="str">
        <f>IF(Table1[[#This Row],[Fasting_Blood_Sugar]]="Yes","Diabetic Risk","Normal")</f>
        <v>Diabetic Risk</v>
      </c>
      <c r="N315" s="1" t="s">
        <v>15</v>
      </c>
      <c r="O315" s="1">
        <v>106</v>
      </c>
      <c r="P315" s="1" t="s">
        <v>14</v>
      </c>
      <c r="Q315" s="4" t="s">
        <v>16</v>
      </c>
      <c r="R315" s="1" t="str" cm="1">
        <f t="array" ref="R31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15" s="1">
        <f>IFERROR(Table1[[#This Row],[Cholesterol]]/Table1[[#This Row],[Max_Heart_Rate]],"")</f>
        <v>1.7924528301886793</v>
      </c>
    </row>
    <row r="316" spans="1:19">
      <c r="A316" s="3" t="s">
        <v>336</v>
      </c>
      <c r="B316" s="3" t="str">
        <f>RIGHT(Table1[[#This Row],[Patient_ID]],4)</f>
        <v>1314</v>
      </c>
      <c r="C316" s="1">
        <v>53</v>
      </c>
      <c r="D316" s="1" t="str">
        <f>VLOOKUP(Table1[[#This Row],[Age]],'Lookup &amp; Reference'!$G$2:$H$5,2,1)</f>
        <v>Medium</v>
      </c>
      <c r="E316" s="1" t="s">
        <v>12</v>
      </c>
      <c r="F316" s="1" t="str">
        <f>_xlfn.CONCAT(LEFT(Table1[[#This Row],[Gender]],1),Table1[[#This Row],[Age]])</f>
        <v>F53</v>
      </c>
      <c r="G316" s="1" t="s">
        <v>13</v>
      </c>
      <c r="H316" s="1">
        <f>LEN(Table1[[#This Row],[Chest_Pain_Type]])</f>
        <v>11</v>
      </c>
      <c r="I316" s="1">
        <v>106</v>
      </c>
      <c r="J316" s="1" t="str" cm="1">
        <f t="array" ref="J31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16" s="1">
        <v>310</v>
      </c>
      <c r="L316" s="1" t="s">
        <v>14</v>
      </c>
      <c r="M316" s="1" t="str">
        <f>IF(Table1[[#This Row],[Fasting_Blood_Sugar]]="Yes","Diabetic Risk","Normal")</f>
        <v>Normal</v>
      </c>
      <c r="N316" s="1" t="s">
        <v>27</v>
      </c>
      <c r="O316" s="1">
        <v>194</v>
      </c>
      <c r="P316" s="1" t="s">
        <v>16</v>
      </c>
      <c r="Q316" s="4" t="s">
        <v>16</v>
      </c>
      <c r="R316" s="1" t="str" cm="1">
        <f t="array" ref="R31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16" s="1">
        <f>IFERROR(Table1[[#This Row],[Cholesterol]]/Table1[[#This Row],[Max_Heart_Rate]],"")</f>
        <v>1.597938144329897</v>
      </c>
    </row>
    <row r="317" spans="1:19">
      <c r="A317" s="3" t="s">
        <v>337</v>
      </c>
      <c r="B317" s="3" t="str">
        <f>RIGHT(Table1[[#This Row],[Patient_ID]],4)</f>
        <v>1315</v>
      </c>
      <c r="C317" s="1">
        <v>57</v>
      </c>
      <c r="D317" s="1" t="str">
        <f>VLOOKUP(Table1[[#This Row],[Age]],'Lookup &amp; Reference'!$G$2:$H$5,2,1)</f>
        <v>Medium</v>
      </c>
      <c r="E317" s="1" t="s">
        <v>18</v>
      </c>
      <c r="F317" s="1" t="str">
        <f>_xlfn.CONCAT(LEFT(Table1[[#This Row],[Gender]],1),Table1[[#This Row],[Age]])</f>
        <v>M57</v>
      </c>
      <c r="G317" s="1" t="s">
        <v>13</v>
      </c>
      <c r="H317" s="1">
        <f>LEN(Table1[[#This Row],[Chest_Pain_Type]])</f>
        <v>11</v>
      </c>
      <c r="I317" s="1">
        <v>101</v>
      </c>
      <c r="J317" s="1" t="str" cm="1">
        <f t="array" ref="J31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17" s="1">
        <v>175</v>
      </c>
      <c r="L317" s="1" t="s">
        <v>16</v>
      </c>
      <c r="M317" s="1" t="str">
        <f>IF(Table1[[#This Row],[Fasting_Blood_Sugar]]="Yes","Diabetic Risk","Normal")</f>
        <v>Diabetic Risk</v>
      </c>
      <c r="N317" s="1" t="s">
        <v>20</v>
      </c>
      <c r="O317" s="1">
        <v>119</v>
      </c>
      <c r="P317" s="1" t="s">
        <v>14</v>
      </c>
      <c r="Q317" s="4" t="s">
        <v>14</v>
      </c>
      <c r="R317" s="1" t="str" cm="1">
        <f t="array" ref="R31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17" s="1">
        <f>IFERROR(Table1[[#This Row],[Cholesterol]]/Table1[[#This Row],[Max_Heart_Rate]],"")</f>
        <v>1.4705882352941178</v>
      </c>
    </row>
    <row r="318" spans="1:19">
      <c r="A318" s="3" t="s">
        <v>338</v>
      </c>
      <c r="B318" s="3" t="str">
        <f>RIGHT(Table1[[#This Row],[Patient_ID]],4)</f>
        <v>1316</v>
      </c>
      <c r="C318" s="1">
        <v>46</v>
      </c>
      <c r="D318" s="1" t="str">
        <f>VLOOKUP(Table1[[#This Row],[Age]],'Lookup &amp; Reference'!$G$2:$H$5,2,1)</f>
        <v>Medium</v>
      </c>
      <c r="E318" s="1" t="s">
        <v>12</v>
      </c>
      <c r="F318" s="1" t="str">
        <f>_xlfn.CONCAT(LEFT(Table1[[#This Row],[Gender]],1),Table1[[#This Row],[Age]])</f>
        <v>F46</v>
      </c>
      <c r="G318" s="1" t="s">
        <v>13</v>
      </c>
      <c r="H318" s="1">
        <f>LEN(Table1[[#This Row],[Chest_Pain_Type]])</f>
        <v>11</v>
      </c>
      <c r="I318" s="1">
        <v>111</v>
      </c>
      <c r="J318" s="1" t="str" cm="1">
        <f t="array" ref="J31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18" s="1">
        <v>289</v>
      </c>
      <c r="L318" s="1" t="s">
        <v>16</v>
      </c>
      <c r="M318" s="1" t="str">
        <f>IF(Table1[[#This Row],[Fasting_Blood_Sugar]]="Yes","Diabetic Risk","Normal")</f>
        <v>Diabetic Risk</v>
      </c>
      <c r="N318" s="1" t="s">
        <v>27</v>
      </c>
      <c r="O318" s="1">
        <v>142</v>
      </c>
      <c r="P318" s="1" t="s">
        <v>16</v>
      </c>
      <c r="Q318" s="4" t="s">
        <v>16</v>
      </c>
      <c r="R318" s="1" t="str" cm="1">
        <f t="array" ref="R31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18" s="1">
        <f>IFERROR(Table1[[#This Row],[Cholesterol]]/Table1[[#This Row],[Max_Heart_Rate]],"")</f>
        <v>2.035211267605634</v>
      </c>
    </row>
    <row r="319" spans="1:19">
      <c r="A319" s="3" t="s">
        <v>339</v>
      </c>
      <c r="B319" s="3" t="str">
        <f>RIGHT(Table1[[#This Row],[Patient_ID]],4)</f>
        <v>1317</v>
      </c>
      <c r="C319" s="1">
        <v>74</v>
      </c>
      <c r="D319" s="1" t="str">
        <f>VLOOKUP(Table1[[#This Row],[Age]],'Lookup &amp; Reference'!$G$2:$H$5,2,1)</f>
        <v>High</v>
      </c>
      <c r="E319" s="1" t="s">
        <v>12</v>
      </c>
      <c r="F319" s="1" t="str">
        <f>_xlfn.CONCAT(LEFT(Table1[[#This Row],[Gender]],1),Table1[[#This Row],[Age]])</f>
        <v>F74</v>
      </c>
      <c r="G319" s="1" t="s">
        <v>25</v>
      </c>
      <c r="H319" s="1">
        <f>LEN(Table1[[#This Row],[Chest_Pain_Type]])</f>
        <v>12</v>
      </c>
      <c r="I319" s="1">
        <v>106</v>
      </c>
      <c r="J319" s="1" t="str" cm="1">
        <f t="array" ref="J31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19" s="1">
        <v>308</v>
      </c>
      <c r="L319" s="1" t="s">
        <v>14</v>
      </c>
      <c r="M319" s="1" t="str">
        <f>IF(Table1[[#This Row],[Fasting_Blood_Sugar]]="Yes","Diabetic Risk","Normal")</f>
        <v>Normal</v>
      </c>
      <c r="N319" s="1" t="s">
        <v>15</v>
      </c>
      <c r="O319" s="1">
        <v>102</v>
      </c>
      <c r="P319" s="1" t="s">
        <v>14</v>
      </c>
      <c r="Q319" s="4" t="s">
        <v>16</v>
      </c>
      <c r="R319" s="1" t="str" cm="1">
        <f t="array" ref="R31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19" s="1">
        <f>IFERROR(Table1[[#This Row],[Cholesterol]]/Table1[[#This Row],[Max_Heart_Rate]],"")</f>
        <v>3.0196078431372548</v>
      </c>
    </row>
    <row r="320" spans="1:19">
      <c r="A320" s="3" t="s">
        <v>340</v>
      </c>
      <c r="B320" s="3" t="str">
        <f>RIGHT(Table1[[#This Row],[Patient_ID]],4)</f>
        <v>1318</v>
      </c>
      <c r="C320" s="1">
        <v>46</v>
      </c>
      <c r="D320" s="1" t="str">
        <f>VLOOKUP(Table1[[#This Row],[Age]],'Lookup &amp; Reference'!$G$2:$H$5,2,1)</f>
        <v>Medium</v>
      </c>
      <c r="E320" s="1" t="s">
        <v>18</v>
      </c>
      <c r="F320" s="1" t="str">
        <f>_xlfn.CONCAT(LEFT(Table1[[#This Row],[Gender]],1),Table1[[#This Row],[Age]])</f>
        <v>M46</v>
      </c>
      <c r="G320" s="1" t="s">
        <v>13</v>
      </c>
      <c r="H320" s="1">
        <f>LEN(Table1[[#This Row],[Chest_Pain_Type]])</f>
        <v>11</v>
      </c>
      <c r="I320" s="1">
        <v>99</v>
      </c>
      <c r="J320" s="1" t="str" cm="1">
        <f t="array" ref="J32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20" s="1">
        <v>161</v>
      </c>
      <c r="L320" s="1" t="s">
        <v>16</v>
      </c>
      <c r="M320" s="1" t="str">
        <f>IF(Table1[[#This Row],[Fasting_Blood_Sugar]]="Yes","Diabetic Risk","Normal")</f>
        <v>Diabetic Risk</v>
      </c>
      <c r="N320" s="1" t="s">
        <v>27</v>
      </c>
      <c r="O320" s="1">
        <v>110</v>
      </c>
      <c r="P320" s="1" t="s">
        <v>14</v>
      </c>
      <c r="Q320" s="4" t="s">
        <v>14</v>
      </c>
      <c r="R320" s="1" t="str" cm="1">
        <f t="array" ref="R32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0" s="1">
        <f>IFERROR(Table1[[#This Row],[Cholesterol]]/Table1[[#This Row],[Max_Heart_Rate]],"")</f>
        <v>1.4636363636363636</v>
      </c>
    </row>
    <row r="321" spans="1:19">
      <c r="A321" s="3" t="s">
        <v>341</v>
      </c>
      <c r="B321" s="3" t="str">
        <f>RIGHT(Table1[[#This Row],[Patient_ID]],4)</f>
        <v>1319</v>
      </c>
      <c r="C321" s="1">
        <v>30</v>
      </c>
      <c r="D321" s="1" t="str">
        <f>VLOOKUP(Table1[[#This Row],[Age]],'Lookup &amp; Reference'!$G$2:$H$5,2,1)</f>
        <v>Low</v>
      </c>
      <c r="E321" s="1" t="s">
        <v>12</v>
      </c>
      <c r="F321" s="1" t="str">
        <f>_xlfn.CONCAT(LEFT(Table1[[#This Row],[Gender]],1),Table1[[#This Row],[Age]])</f>
        <v>F30</v>
      </c>
      <c r="G321" s="1" t="s">
        <v>22</v>
      </c>
      <c r="H321" s="1">
        <f>LEN(Table1[[#This Row],[Chest_Pain_Type]])</f>
        <v>15</v>
      </c>
      <c r="I321" s="1">
        <v>154</v>
      </c>
      <c r="J321" s="1" t="str" cm="1">
        <f t="array" ref="J32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21" s="1">
        <v>303</v>
      </c>
      <c r="L321" s="1" t="s">
        <v>16</v>
      </c>
      <c r="M321" s="1" t="str">
        <f>IF(Table1[[#This Row],[Fasting_Blood_Sugar]]="Yes","Diabetic Risk","Normal")</f>
        <v>Diabetic Risk</v>
      </c>
      <c r="N321" s="1" t="s">
        <v>27</v>
      </c>
      <c r="O321" s="1">
        <v>108</v>
      </c>
      <c r="P321" s="1" t="s">
        <v>14</v>
      </c>
      <c r="Q321" s="4" t="s">
        <v>14</v>
      </c>
      <c r="R321" s="1" t="str" cm="1">
        <f t="array" ref="R32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1" s="1">
        <f>IFERROR(Table1[[#This Row],[Cholesterol]]/Table1[[#This Row],[Max_Heart_Rate]],"")</f>
        <v>2.8055555555555554</v>
      </c>
    </row>
    <row r="322" spans="1:19">
      <c r="A322" s="3" t="s">
        <v>342</v>
      </c>
      <c r="B322" s="3" t="str">
        <f>RIGHT(Table1[[#This Row],[Patient_ID]],4)</f>
        <v>1320</v>
      </c>
      <c r="C322" s="1">
        <v>63</v>
      </c>
      <c r="D322" s="1" t="str">
        <f>VLOOKUP(Table1[[#This Row],[Age]],'Lookup &amp; Reference'!$G$2:$H$5,2,1)</f>
        <v>High</v>
      </c>
      <c r="E322" s="1" t="s">
        <v>12</v>
      </c>
      <c r="F322" s="1" t="str">
        <f>_xlfn.CONCAT(LEFT(Table1[[#This Row],[Gender]],1),Table1[[#This Row],[Age]])</f>
        <v>F63</v>
      </c>
      <c r="G322" s="1" t="s">
        <v>25</v>
      </c>
      <c r="H322" s="1">
        <f>LEN(Table1[[#This Row],[Chest_Pain_Type]])</f>
        <v>12</v>
      </c>
      <c r="I322" s="1">
        <v>111</v>
      </c>
      <c r="J322" s="1" t="str" cm="1">
        <f t="array" ref="J32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22" s="1">
        <v>155</v>
      </c>
      <c r="L322" s="1" t="s">
        <v>14</v>
      </c>
      <c r="M322" s="1" t="str">
        <f>IF(Table1[[#This Row],[Fasting_Blood_Sugar]]="Yes","Diabetic Risk","Normal")</f>
        <v>Normal</v>
      </c>
      <c r="N322" s="1" t="s">
        <v>15</v>
      </c>
      <c r="O322" s="1">
        <v>142</v>
      </c>
      <c r="P322" s="1" t="s">
        <v>16</v>
      </c>
      <c r="Q322" s="4" t="s">
        <v>14</v>
      </c>
      <c r="R322" s="1" t="str" cm="1">
        <f t="array" ref="R32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2" s="1">
        <f>IFERROR(Table1[[#This Row],[Cholesterol]]/Table1[[#This Row],[Max_Heart_Rate]],"")</f>
        <v>1.091549295774648</v>
      </c>
    </row>
    <row r="323" spans="1:19">
      <c r="A323" s="3" t="s">
        <v>343</v>
      </c>
      <c r="B323" s="3" t="str">
        <f>RIGHT(Table1[[#This Row],[Patient_ID]],4)</f>
        <v>1321</v>
      </c>
      <c r="C323" s="1">
        <v>44</v>
      </c>
      <c r="D323" s="1" t="str">
        <f>VLOOKUP(Table1[[#This Row],[Age]],'Lookup &amp; Reference'!$G$2:$H$5,2,1)</f>
        <v>Low</v>
      </c>
      <c r="E323" s="1" t="s">
        <v>18</v>
      </c>
      <c r="F323" s="1" t="str">
        <f>_xlfn.CONCAT(LEFT(Table1[[#This Row],[Gender]],1),Table1[[#This Row],[Age]])</f>
        <v>M44</v>
      </c>
      <c r="G323" s="1" t="s">
        <v>22</v>
      </c>
      <c r="H323" s="1">
        <f>LEN(Table1[[#This Row],[Chest_Pain_Type]])</f>
        <v>15</v>
      </c>
      <c r="I323" s="1">
        <v>179</v>
      </c>
      <c r="J323" s="1" t="str" cm="1">
        <f t="array" ref="J32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23" s="1">
        <v>203</v>
      </c>
      <c r="L323" s="1" t="s">
        <v>16</v>
      </c>
      <c r="M323" s="1" t="str">
        <f>IF(Table1[[#This Row],[Fasting_Blood_Sugar]]="Yes","Diabetic Risk","Normal")</f>
        <v>Diabetic Risk</v>
      </c>
      <c r="N323" s="1" t="s">
        <v>27</v>
      </c>
      <c r="O323" s="1">
        <v>108</v>
      </c>
      <c r="P323" s="1" t="s">
        <v>16</v>
      </c>
      <c r="Q323" s="4" t="s">
        <v>16</v>
      </c>
      <c r="R323" s="1" t="str" cm="1">
        <f t="array" ref="R32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3" s="1">
        <f>IFERROR(Table1[[#This Row],[Cholesterol]]/Table1[[#This Row],[Max_Heart_Rate]],"")</f>
        <v>1.8796296296296295</v>
      </c>
    </row>
    <row r="324" spans="1:19">
      <c r="A324" s="3" t="s">
        <v>344</v>
      </c>
      <c r="B324" s="3" t="str">
        <f>RIGHT(Table1[[#This Row],[Patient_ID]],4)</f>
        <v>1322</v>
      </c>
      <c r="C324" s="1">
        <v>69</v>
      </c>
      <c r="D324" s="1" t="str">
        <f>VLOOKUP(Table1[[#This Row],[Age]],'Lookup &amp; Reference'!$G$2:$H$5,2,1)</f>
        <v>High</v>
      </c>
      <c r="E324" s="1" t="s">
        <v>18</v>
      </c>
      <c r="F324" s="1" t="str">
        <f>_xlfn.CONCAT(LEFT(Table1[[#This Row],[Gender]],1),Table1[[#This Row],[Age]])</f>
        <v>M69</v>
      </c>
      <c r="G324" s="1" t="s">
        <v>19</v>
      </c>
      <c r="H324" s="1">
        <f>LEN(Table1[[#This Row],[Chest_Pain_Type]])</f>
        <v>14</v>
      </c>
      <c r="I324" s="1">
        <v>171</v>
      </c>
      <c r="J324" s="1" t="str" cm="1">
        <f t="array" ref="J32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24" s="1">
        <v>315</v>
      </c>
      <c r="L324" s="1" t="s">
        <v>14</v>
      </c>
      <c r="M324" s="1" t="str">
        <f>IF(Table1[[#This Row],[Fasting_Blood_Sugar]]="Yes","Diabetic Risk","Normal")</f>
        <v>Normal</v>
      </c>
      <c r="N324" s="1" t="s">
        <v>27</v>
      </c>
      <c r="O324" s="1">
        <v>146</v>
      </c>
      <c r="P324" s="1" t="s">
        <v>14</v>
      </c>
      <c r="Q324" s="4" t="s">
        <v>14</v>
      </c>
      <c r="R324" s="1" t="str" cm="1">
        <f t="array" ref="R32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4" s="1">
        <f>IFERROR(Table1[[#This Row],[Cholesterol]]/Table1[[#This Row],[Max_Heart_Rate]],"")</f>
        <v>2.1575342465753424</v>
      </c>
    </row>
    <row r="325" spans="1:19">
      <c r="A325" s="3" t="s">
        <v>345</v>
      </c>
      <c r="B325" s="3" t="str">
        <f>RIGHT(Table1[[#This Row],[Patient_ID]],4)</f>
        <v>1323</v>
      </c>
      <c r="C325" s="1">
        <v>64</v>
      </c>
      <c r="D325" s="1" t="str">
        <f>VLOOKUP(Table1[[#This Row],[Age]],'Lookup &amp; Reference'!$G$2:$H$5,2,1)</f>
        <v>High</v>
      </c>
      <c r="E325" s="1" t="s">
        <v>18</v>
      </c>
      <c r="F325" s="1" t="str">
        <f>_xlfn.CONCAT(LEFT(Table1[[#This Row],[Gender]],1),Table1[[#This Row],[Age]])</f>
        <v>M64</v>
      </c>
      <c r="G325" s="1" t="s">
        <v>19</v>
      </c>
      <c r="H325" s="1">
        <f>LEN(Table1[[#This Row],[Chest_Pain_Type]])</f>
        <v>14</v>
      </c>
      <c r="I325" s="1">
        <v>139</v>
      </c>
      <c r="J325" s="1" t="str" cm="1">
        <f t="array" ref="J32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25" s="1">
        <v>237</v>
      </c>
      <c r="L325" s="1" t="s">
        <v>14</v>
      </c>
      <c r="M325" s="1" t="str">
        <f>IF(Table1[[#This Row],[Fasting_Blood_Sugar]]="Yes","Diabetic Risk","Normal")</f>
        <v>Normal</v>
      </c>
      <c r="N325" s="1" t="s">
        <v>20</v>
      </c>
      <c r="O325" s="1">
        <v>114</v>
      </c>
      <c r="P325" s="1" t="s">
        <v>14</v>
      </c>
      <c r="Q325" s="4" t="s">
        <v>14</v>
      </c>
      <c r="R325" s="1" t="str" cm="1">
        <f t="array" ref="R32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5" s="1">
        <f>IFERROR(Table1[[#This Row],[Cholesterol]]/Table1[[#This Row],[Max_Heart_Rate]],"")</f>
        <v>2.0789473684210527</v>
      </c>
    </row>
    <row r="326" spans="1:19">
      <c r="A326" s="3" t="s">
        <v>346</v>
      </c>
      <c r="B326" s="3" t="str">
        <f>RIGHT(Table1[[#This Row],[Patient_ID]],4)</f>
        <v>1324</v>
      </c>
      <c r="C326" s="1">
        <v>61</v>
      </c>
      <c r="D326" s="1" t="str">
        <f>VLOOKUP(Table1[[#This Row],[Age]],'Lookup &amp; Reference'!$G$2:$H$5,2,1)</f>
        <v>High</v>
      </c>
      <c r="E326" s="1" t="s">
        <v>12</v>
      </c>
      <c r="F326" s="1" t="str">
        <f>_xlfn.CONCAT(LEFT(Table1[[#This Row],[Gender]],1),Table1[[#This Row],[Age]])</f>
        <v>F61</v>
      </c>
      <c r="G326" s="1" t="s">
        <v>19</v>
      </c>
      <c r="H326" s="1">
        <f>LEN(Table1[[#This Row],[Chest_Pain_Type]])</f>
        <v>14</v>
      </c>
      <c r="I326" s="1">
        <v>103</v>
      </c>
      <c r="J326" s="1" t="str" cm="1">
        <f t="array" ref="J32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26" s="1">
        <v>126</v>
      </c>
      <c r="L326" s="1" t="s">
        <v>14</v>
      </c>
      <c r="M326" s="1" t="str">
        <f>IF(Table1[[#This Row],[Fasting_Blood_Sugar]]="Yes","Diabetic Risk","Normal")</f>
        <v>Normal</v>
      </c>
      <c r="N326" s="1" t="s">
        <v>20</v>
      </c>
      <c r="O326" s="1">
        <v>175</v>
      </c>
      <c r="P326" s="1" t="s">
        <v>16</v>
      </c>
      <c r="Q326" s="4" t="s">
        <v>16</v>
      </c>
      <c r="R326" s="1" t="str" cm="1">
        <f t="array" ref="R32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26" s="1">
        <f>IFERROR(Table1[[#This Row],[Cholesterol]]/Table1[[#This Row],[Max_Heart_Rate]],"")</f>
        <v>0.72</v>
      </c>
    </row>
    <row r="327" spans="1:19">
      <c r="A327" s="3" t="s">
        <v>347</v>
      </c>
      <c r="B327" s="3" t="str">
        <f>RIGHT(Table1[[#This Row],[Patient_ID]],4)</f>
        <v>1325</v>
      </c>
      <c r="C327" s="1">
        <v>32</v>
      </c>
      <c r="D327" s="1" t="str">
        <f>VLOOKUP(Table1[[#This Row],[Age]],'Lookup &amp; Reference'!$G$2:$H$5,2,1)</f>
        <v>Low</v>
      </c>
      <c r="E327" s="1" t="s">
        <v>18</v>
      </c>
      <c r="F327" s="1" t="str">
        <f>_xlfn.CONCAT(LEFT(Table1[[#This Row],[Gender]],1),Table1[[#This Row],[Age]])</f>
        <v>M32</v>
      </c>
      <c r="G327" s="1" t="s">
        <v>19</v>
      </c>
      <c r="H327" s="1">
        <f>LEN(Table1[[#This Row],[Chest_Pain_Type]])</f>
        <v>14</v>
      </c>
      <c r="I327" s="1">
        <v>153</v>
      </c>
      <c r="J327" s="1" t="str" cm="1">
        <f t="array" ref="J32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27" s="1">
        <v>173</v>
      </c>
      <c r="L327" s="1" t="s">
        <v>14</v>
      </c>
      <c r="M327" s="1" t="str">
        <f>IF(Table1[[#This Row],[Fasting_Blood_Sugar]]="Yes","Diabetic Risk","Normal")</f>
        <v>Normal</v>
      </c>
      <c r="N327" s="1" t="s">
        <v>15</v>
      </c>
      <c r="O327" s="1">
        <v>120</v>
      </c>
      <c r="P327" s="1" t="s">
        <v>16</v>
      </c>
      <c r="Q327" s="4" t="s">
        <v>16</v>
      </c>
      <c r="R327" s="1" t="str" cm="1">
        <f t="array" ref="R32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7" s="1">
        <f>IFERROR(Table1[[#This Row],[Cholesterol]]/Table1[[#This Row],[Max_Heart_Rate]],"")</f>
        <v>1.4416666666666667</v>
      </c>
    </row>
    <row r="328" spans="1:19">
      <c r="A328" s="3" t="s">
        <v>348</v>
      </c>
      <c r="B328" s="3" t="str">
        <f>RIGHT(Table1[[#This Row],[Patient_ID]],4)</f>
        <v>1326</v>
      </c>
      <c r="C328" s="1">
        <v>61</v>
      </c>
      <c r="D328" s="1" t="str">
        <f>VLOOKUP(Table1[[#This Row],[Age]],'Lookup &amp; Reference'!$G$2:$H$5,2,1)</f>
        <v>High</v>
      </c>
      <c r="E328" s="1" t="s">
        <v>18</v>
      </c>
      <c r="F328" s="1" t="str">
        <f>_xlfn.CONCAT(LEFT(Table1[[#This Row],[Gender]],1),Table1[[#This Row],[Age]])</f>
        <v>M61</v>
      </c>
      <c r="G328" s="1" t="s">
        <v>22</v>
      </c>
      <c r="H328" s="1">
        <f>LEN(Table1[[#This Row],[Chest_Pain_Type]])</f>
        <v>15</v>
      </c>
      <c r="I328" s="1">
        <v>136</v>
      </c>
      <c r="J328" s="1" t="str" cm="1">
        <f t="array" ref="J32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28" s="1">
        <v>248</v>
      </c>
      <c r="L328" s="1" t="s">
        <v>14</v>
      </c>
      <c r="M328" s="1" t="str">
        <f>IF(Table1[[#This Row],[Fasting_Blood_Sugar]]="Yes","Diabetic Risk","Normal")</f>
        <v>Normal</v>
      </c>
      <c r="N328" s="1" t="s">
        <v>15</v>
      </c>
      <c r="O328" s="1">
        <v>170</v>
      </c>
      <c r="P328" s="1" t="s">
        <v>16</v>
      </c>
      <c r="Q328" s="4" t="s">
        <v>16</v>
      </c>
      <c r="R328" s="1" t="str" cm="1">
        <f t="array" ref="R32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28" s="1">
        <f>IFERROR(Table1[[#This Row],[Cholesterol]]/Table1[[#This Row],[Max_Heart_Rate]],"")</f>
        <v>1.4588235294117646</v>
      </c>
    </row>
    <row r="329" spans="1:19">
      <c r="A329" s="3" t="s">
        <v>349</v>
      </c>
      <c r="B329" s="3" t="str">
        <f>RIGHT(Table1[[#This Row],[Patient_ID]],4)</f>
        <v>1327</v>
      </c>
      <c r="C329" s="1">
        <v>42</v>
      </c>
      <c r="D329" s="1" t="str">
        <f>VLOOKUP(Table1[[#This Row],[Age]],'Lookup &amp; Reference'!$G$2:$H$5,2,1)</f>
        <v>Low</v>
      </c>
      <c r="E329" s="1" t="s">
        <v>18</v>
      </c>
      <c r="F329" s="1" t="str">
        <f>_xlfn.CONCAT(LEFT(Table1[[#This Row],[Gender]],1),Table1[[#This Row],[Age]])</f>
        <v>M42</v>
      </c>
      <c r="G329" s="1" t="s">
        <v>25</v>
      </c>
      <c r="H329" s="1">
        <f>LEN(Table1[[#This Row],[Chest_Pain_Type]])</f>
        <v>12</v>
      </c>
      <c r="I329" s="1">
        <v>118</v>
      </c>
      <c r="J329" s="1" t="str" cm="1">
        <f t="array" ref="J32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29" s="1">
        <v>291</v>
      </c>
      <c r="L329" s="1" t="s">
        <v>16</v>
      </c>
      <c r="M329" s="1" t="str">
        <f>IF(Table1[[#This Row],[Fasting_Blood_Sugar]]="Yes","Diabetic Risk","Normal")</f>
        <v>Diabetic Risk</v>
      </c>
      <c r="N329" s="1" t="s">
        <v>15</v>
      </c>
      <c r="O329" s="1">
        <v>144</v>
      </c>
      <c r="P329" s="1" t="s">
        <v>16</v>
      </c>
      <c r="Q329" s="4" t="s">
        <v>16</v>
      </c>
      <c r="R329" s="1" t="str" cm="1">
        <f t="array" ref="R32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29" s="1">
        <f>IFERROR(Table1[[#This Row],[Cholesterol]]/Table1[[#This Row],[Max_Heart_Rate]],"")</f>
        <v>2.0208333333333335</v>
      </c>
    </row>
    <row r="330" spans="1:19">
      <c r="A330" s="3" t="s">
        <v>350</v>
      </c>
      <c r="B330" s="3" t="str">
        <f>RIGHT(Table1[[#This Row],[Patient_ID]],4)</f>
        <v>1328</v>
      </c>
      <c r="C330" s="1">
        <v>49</v>
      </c>
      <c r="D330" s="1" t="str">
        <f>VLOOKUP(Table1[[#This Row],[Age]],'Lookup &amp; Reference'!$G$2:$H$5,2,1)</f>
        <v>Medium</v>
      </c>
      <c r="E330" s="1" t="s">
        <v>18</v>
      </c>
      <c r="F330" s="1" t="str">
        <f>_xlfn.CONCAT(LEFT(Table1[[#This Row],[Gender]],1),Table1[[#This Row],[Age]])</f>
        <v>M49</v>
      </c>
      <c r="G330" s="1" t="s">
        <v>25</v>
      </c>
      <c r="H330" s="1">
        <f>LEN(Table1[[#This Row],[Chest_Pain_Type]])</f>
        <v>12</v>
      </c>
      <c r="I330" s="1">
        <v>165</v>
      </c>
      <c r="J330" s="1" t="str" cm="1">
        <f t="array" ref="J33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30" s="1">
        <v>239</v>
      </c>
      <c r="L330" s="1" t="s">
        <v>16</v>
      </c>
      <c r="M330" s="1" t="str">
        <f>IF(Table1[[#This Row],[Fasting_Blood_Sugar]]="Yes","Diabetic Risk","Normal")</f>
        <v>Diabetic Risk</v>
      </c>
      <c r="N330" s="1" t="s">
        <v>20</v>
      </c>
      <c r="O330" s="1">
        <v>112</v>
      </c>
      <c r="P330" s="1" t="s">
        <v>16</v>
      </c>
      <c r="Q330" s="4" t="s">
        <v>16</v>
      </c>
      <c r="R330" s="1" t="str" cm="1">
        <f t="array" ref="R33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30" s="1">
        <f>IFERROR(Table1[[#This Row],[Cholesterol]]/Table1[[#This Row],[Max_Heart_Rate]],"")</f>
        <v>2.1339285714285716</v>
      </c>
    </row>
    <row r="331" spans="1:19">
      <c r="A331" s="3" t="s">
        <v>351</v>
      </c>
      <c r="B331" s="3" t="str">
        <f>RIGHT(Table1[[#This Row],[Patient_ID]],4)</f>
        <v>1329</v>
      </c>
      <c r="C331" s="1">
        <v>76</v>
      </c>
      <c r="D331" s="1" t="str">
        <f>VLOOKUP(Table1[[#This Row],[Age]],'Lookup &amp; Reference'!$G$2:$H$5,2,1)</f>
        <v>High</v>
      </c>
      <c r="E331" s="1" t="s">
        <v>18</v>
      </c>
      <c r="F331" s="1" t="str">
        <f>_xlfn.CONCAT(LEFT(Table1[[#This Row],[Gender]],1),Table1[[#This Row],[Age]])</f>
        <v>M76</v>
      </c>
      <c r="G331" s="1" t="s">
        <v>13</v>
      </c>
      <c r="H331" s="1">
        <f>LEN(Table1[[#This Row],[Chest_Pain_Type]])</f>
        <v>11</v>
      </c>
      <c r="I331" s="1">
        <v>125</v>
      </c>
      <c r="J331" s="1" t="str" cm="1">
        <f t="array" ref="J33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31" s="1">
        <v>292</v>
      </c>
      <c r="L331" s="1" t="s">
        <v>14</v>
      </c>
      <c r="M331" s="1" t="str">
        <f>IF(Table1[[#This Row],[Fasting_Blood_Sugar]]="Yes","Diabetic Risk","Normal")</f>
        <v>Normal</v>
      </c>
      <c r="N331" s="1" t="s">
        <v>15</v>
      </c>
      <c r="O331" s="1">
        <v>121</v>
      </c>
      <c r="P331" s="1" t="s">
        <v>16</v>
      </c>
      <c r="Q331" s="4" t="s">
        <v>14</v>
      </c>
      <c r="R331" s="1" t="str" cm="1">
        <f t="array" ref="R33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1" s="1">
        <f>IFERROR(Table1[[#This Row],[Cholesterol]]/Table1[[#This Row],[Max_Heart_Rate]],"")</f>
        <v>2.4132231404958677</v>
      </c>
    </row>
    <row r="332" spans="1:19">
      <c r="A332" s="3" t="s">
        <v>352</v>
      </c>
      <c r="B332" s="3" t="str">
        <f>RIGHT(Table1[[#This Row],[Patient_ID]],4)</f>
        <v>1330</v>
      </c>
      <c r="C332" s="1">
        <v>48</v>
      </c>
      <c r="D332" s="1" t="str">
        <f>VLOOKUP(Table1[[#This Row],[Age]],'Lookup &amp; Reference'!$G$2:$H$5,2,1)</f>
        <v>Medium</v>
      </c>
      <c r="E332" s="1" t="s">
        <v>18</v>
      </c>
      <c r="F332" s="1" t="str">
        <f>_xlfn.CONCAT(LEFT(Table1[[#This Row],[Gender]],1),Table1[[#This Row],[Age]])</f>
        <v>M48</v>
      </c>
      <c r="G332" s="1" t="s">
        <v>22</v>
      </c>
      <c r="H332" s="1">
        <f>LEN(Table1[[#This Row],[Chest_Pain_Type]])</f>
        <v>15</v>
      </c>
      <c r="I332" s="1">
        <v>188</v>
      </c>
      <c r="J332" s="1" t="str" cm="1">
        <f t="array" ref="J33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32" s="1">
        <v>225</v>
      </c>
      <c r="L332" s="1" t="s">
        <v>14</v>
      </c>
      <c r="M332" s="1" t="str">
        <f>IF(Table1[[#This Row],[Fasting_Blood_Sugar]]="Yes","Diabetic Risk","Normal")</f>
        <v>Normal</v>
      </c>
      <c r="N332" s="1" t="s">
        <v>15</v>
      </c>
      <c r="O332" s="1">
        <v>151</v>
      </c>
      <c r="P332" s="1" t="s">
        <v>14</v>
      </c>
      <c r="Q332" s="4" t="s">
        <v>14</v>
      </c>
      <c r="R332" s="1" t="str" cm="1">
        <f t="array" ref="R33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2" s="1">
        <f>IFERROR(Table1[[#This Row],[Cholesterol]]/Table1[[#This Row],[Max_Heart_Rate]],"")</f>
        <v>1.490066225165563</v>
      </c>
    </row>
    <row r="333" spans="1:19">
      <c r="A333" s="3" t="s">
        <v>353</v>
      </c>
      <c r="B333" s="3" t="str">
        <f>RIGHT(Table1[[#This Row],[Patient_ID]],4)</f>
        <v>1331</v>
      </c>
      <c r="C333" s="1">
        <v>36</v>
      </c>
      <c r="D333" s="1" t="str">
        <f>VLOOKUP(Table1[[#This Row],[Age]],'Lookup &amp; Reference'!$G$2:$H$5,2,1)</f>
        <v>Low</v>
      </c>
      <c r="E333" s="1" t="s">
        <v>12</v>
      </c>
      <c r="F333" s="1" t="str">
        <f>_xlfn.CONCAT(LEFT(Table1[[#This Row],[Gender]],1),Table1[[#This Row],[Age]])</f>
        <v>F36</v>
      </c>
      <c r="G333" s="1" t="s">
        <v>19</v>
      </c>
      <c r="H333" s="1">
        <f>LEN(Table1[[#This Row],[Chest_Pain_Type]])</f>
        <v>14</v>
      </c>
      <c r="I333" s="1">
        <v>141</v>
      </c>
      <c r="J333" s="1" t="str" cm="1">
        <f t="array" ref="J33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33" s="1">
        <v>166</v>
      </c>
      <c r="L333" s="1" t="s">
        <v>16</v>
      </c>
      <c r="M333" s="1" t="str">
        <f>IF(Table1[[#This Row],[Fasting_Blood_Sugar]]="Yes","Diabetic Risk","Normal")</f>
        <v>Diabetic Risk</v>
      </c>
      <c r="N333" s="1" t="s">
        <v>15</v>
      </c>
      <c r="O333" s="1">
        <v>163</v>
      </c>
      <c r="P333" s="1" t="s">
        <v>16</v>
      </c>
      <c r="Q333" s="4" t="s">
        <v>14</v>
      </c>
      <c r="R333" s="1" t="str" cm="1">
        <f t="array" ref="R33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3" s="1">
        <f>IFERROR(Table1[[#This Row],[Cholesterol]]/Table1[[#This Row],[Max_Heart_Rate]],"")</f>
        <v>1.01840490797546</v>
      </c>
    </row>
    <row r="334" spans="1:19">
      <c r="A334" s="3" t="s">
        <v>354</v>
      </c>
      <c r="B334" s="3" t="str">
        <f>RIGHT(Table1[[#This Row],[Patient_ID]],4)</f>
        <v>1332</v>
      </c>
      <c r="C334" s="1">
        <v>35</v>
      </c>
      <c r="D334" s="1" t="str">
        <f>VLOOKUP(Table1[[#This Row],[Age]],'Lookup &amp; Reference'!$G$2:$H$5,2,1)</f>
        <v>Low</v>
      </c>
      <c r="E334" s="1" t="s">
        <v>12</v>
      </c>
      <c r="F334" s="1" t="str">
        <f>_xlfn.CONCAT(LEFT(Table1[[#This Row],[Gender]],1),Table1[[#This Row],[Age]])</f>
        <v>F35</v>
      </c>
      <c r="G334" s="1" t="s">
        <v>22</v>
      </c>
      <c r="H334" s="1">
        <f>LEN(Table1[[#This Row],[Chest_Pain_Type]])</f>
        <v>15</v>
      </c>
      <c r="I334" s="1">
        <v>165</v>
      </c>
      <c r="J334" s="1" t="str" cm="1">
        <f t="array" ref="J33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34" s="1">
        <v>242</v>
      </c>
      <c r="L334" s="1" t="s">
        <v>14</v>
      </c>
      <c r="M334" s="1" t="str">
        <f>IF(Table1[[#This Row],[Fasting_Blood_Sugar]]="Yes","Diabetic Risk","Normal")</f>
        <v>Normal</v>
      </c>
      <c r="N334" s="1" t="s">
        <v>20</v>
      </c>
      <c r="O334" s="1">
        <v>99</v>
      </c>
      <c r="P334" s="1" t="s">
        <v>14</v>
      </c>
      <c r="Q334" s="4" t="s">
        <v>16</v>
      </c>
      <c r="R334" s="1" t="str" cm="1">
        <f t="array" ref="R33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4" s="1">
        <f>IFERROR(Table1[[#This Row],[Cholesterol]]/Table1[[#This Row],[Max_Heart_Rate]],"")</f>
        <v>2.4444444444444446</v>
      </c>
    </row>
    <row r="335" spans="1:19">
      <c r="A335" s="3" t="s">
        <v>355</v>
      </c>
      <c r="B335" s="3" t="str">
        <f>RIGHT(Table1[[#This Row],[Patient_ID]],4)</f>
        <v>1333</v>
      </c>
      <c r="C335" s="1">
        <v>31</v>
      </c>
      <c r="D335" s="1" t="str">
        <f>VLOOKUP(Table1[[#This Row],[Age]],'Lookup &amp; Reference'!$G$2:$H$5,2,1)</f>
        <v>Low</v>
      </c>
      <c r="E335" s="1" t="s">
        <v>18</v>
      </c>
      <c r="F335" s="1" t="str">
        <f>_xlfn.CONCAT(LEFT(Table1[[#This Row],[Gender]],1),Table1[[#This Row],[Age]])</f>
        <v>M31</v>
      </c>
      <c r="G335" s="1" t="s">
        <v>13</v>
      </c>
      <c r="H335" s="1">
        <f>LEN(Table1[[#This Row],[Chest_Pain_Type]])</f>
        <v>11</v>
      </c>
      <c r="I335" s="1">
        <v>96</v>
      </c>
      <c r="J335" s="1" t="str" cm="1">
        <f t="array" ref="J33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35" s="1">
        <v>260</v>
      </c>
      <c r="L335" s="1" t="s">
        <v>14</v>
      </c>
      <c r="M335" s="1" t="str">
        <f>IF(Table1[[#This Row],[Fasting_Blood_Sugar]]="Yes","Diabetic Risk","Normal")</f>
        <v>Normal</v>
      </c>
      <c r="N335" s="1" t="s">
        <v>27</v>
      </c>
      <c r="O335" s="1">
        <v>189</v>
      </c>
      <c r="P335" s="1" t="s">
        <v>16</v>
      </c>
      <c r="Q335" s="4" t="s">
        <v>16</v>
      </c>
      <c r="R335" s="1" t="str" cm="1">
        <f t="array" ref="R33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5" s="1">
        <f>IFERROR(Table1[[#This Row],[Cholesterol]]/Table1[[#This Row],[Max_Heart_Rate]],"")</f>
        <v>1.3756613756613756</v>
      </c>
    </row>
    <row r="336" spans="1:19">
      <c r="A336" s="3" t="s">
        <v>356</v>
      </c>
      <c r="B336" s="3" t="str">
        <f>RIGHT(Table1[[#This Row],[Patient_ID]],4)</f>
        <v>1334</v>
      </c>
      <c r="C336" s="1">
        <v>45</v>
      </c>
      <c r="D336" s="1" t="str">
        <f>VLOOKUP(Table1[[#This Row],[Age]],'Lookup &amp; Reference'!$G$2:$H$5,2,1)</f>
        <v>Medium</v>
      </c>
      <c r="E336" s="1" t="s">
        <v>18</v>
      </c>
      <c r="F336" s="1" t="str">
        <f>_xlfn.CONCAT(LEFT(Table1[[#This Row],[Gender]],1),Table1[[#This Row],[Age]])</f>
        <v>M45</v>
      </c>
      <c r="G336" s="1" t="s">
        <v>13</v>
      </c>
      <c r="H336" s="1">
        <f>LEN(Table1[[#This Row],[Chest_Pain_Type]])</f>
        <v>11</v>
      </c>
      <c r="I336" s="1">
        <v>118</v>
      </c>
      <c r="J336" s="1" t="str" cm="1">
        <f t="array" ref="J33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36" s="1">
        <v>238</v>
      </c>
      <c r="L336" s="1" t="s">
        <v>14</v>
      </c>
      <c r="M336" s="1" t="str">
        <f>IF(Table1[[#This Row],[Fasting_Blood_Sugar]]="Yes","Diabetic Risk","Normal")</f>
        <v>Normal</v>
      </c>
      <c r="N336" s="1" t="s">
        <v>15</v>
      </c>
      <c r="O336" s="1">
        <v>161</v>
      </c>
      <c r="P336" s="1" t="s">
        <v>16</v>
      </c>
      <c r="Q336" s="4" t="s">
        <v>16</v>
      </c>
      <c r="R336" s="1" t="str" cm="1">
        <f t="array" ref="R33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36" s="1">
        <f>IFERROR(Table1[[#This Row],[Cholesterol]]/Table1[[#This Row],[Max_Heart_Rate]],"")</f>
        <v>1.4782608695652173</v>
      </c>
    </row>
    <row r="337" spans="1:19">
      <c r="A337" s="3" t="s">
        <v>357</v>
      </c>
      <c r="B337" s="3" t="str">
        <f>RIGHT(Table1[[#This Row],[Patient_ID]],4)</f>
        <v>1335</v>
      </c>
      <c r="C337" s="1">
        <v>61</v>
      </c>
      <c r="D337" s="1" t="str">
        <f>VLOOKUP(Table1[[#This Row],[Age]],'Lookup &amp; Reference'!$G$2:$H$5,2,1)</f>
        <v>High</v>
      </c>
      <c r="E337" s="1" t="s">
        <v>18</v>
      </c>
      <c r="F337" s="1" t="str">
        <f>_xlfn.CONCAT(LEFT(Table1[[#This Row],[Gender]],1),Table1[[#This Row],[Age]])</f>
        <v>M61</v>
      </c>
      <c r="G337" s="1" t="s">
        <v>22</v>
      </c>
      <c r="H337" s="1">
        <f>LEN(Table1[[#This Row],[Chest_Pain_Type]])</f>
        <v>15</v>
      </c>
      <c r="I337" s="1">
        <v>100</v>
      </c>
      <c r="J337" s="1" t="str" cm="1">
        <f t="array" ref="J33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37" s="1">
        <v>269</v>
      </c>
      <c r="L337" s="1" t="s">
        <v>16</v>
      </c>
      <c r="M337" s="1" t="str">
        <f>IF(Table1[[#This Row],[Fasting_Blood_Sugar]]="Yes","Diabetic Risk","Normal")</f>
        <v>Diabetic Risk</v>
      </c>
      <c r="N337" s="1" t="s">
        <v>27</v>
      </c>
      <c r="O337" s="1">
        <v>143</v>
      </c>
      <c r="P337" s="1" t="s">
        <v>14</v>
      </c>
      <c r="Q337" s="4" t="s">
        <v>14</v>
      </c>
      <c r="R337" s="1" t="str" cm="1">
        <f t="array" ref="R33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7" s="1">
        <f>IFERROR(Table1[[#This Row],[Cholesterol]]/Table1[[#This Row],[Max_Heart_Rate]],"")</f>
        <v>1.881118881118881</v>
      </c>
    </row>
    <row r="338" spans="1:19">
      <c r="A338" s="3" t="s">
        <v>358</v>
      </c>
      <c r="B338" s="3" t="str">
        <f>RIGHT(Table1[[#This Row],[Patient_ID]],4)</f>
        <v>1336</v>
      </c>
      <c r="C338" s="1">
        <v>76</v>
      </c>
      <c r="D338" s="1" t="str">
        <f>VLOOKUP(Table1[[#This Row],[Age]],'Lookup &amp; Reference'!$G$2:$H$5,2,1)</f>
        <v>High</v>
      </c>
      <c r="E338" s="1" t="s">
        <v>12</v>
      </c>
      <c r="F338" s="1" t="str">
        <f>_xlfn.CONCAT(LEFT(Table1[[#This Row],[Gender]],1),Table1[[#This Row],[Age]])</f>
        <v>F76</v>
      </c>
      <c r="G338" s="1" t="s">
        <v>22</v>
      </c>
      <c r="H338" s="1">
        <f>LEN(Table1[[#This Row],[Chest_Pain_Type]])</f>
        <v>15</v>
      </c>
      <c r="I338" s="1">
        <v>122</v>
      </c>
      <c r="J338" s="1" t="str" cm="1">
        <f t="array" ref="J33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38" s="1">
        <v>237</v>
      </c>
      <c r="L338" s="1" t="s">
        <v>16</v>
      </c>
      <c r="M338" s="1" t="str">
        <f>IF(Table1[[#This Row],[Fasting_Blood_Sugar]]="Yes","Diabetic Risk","Normal")</f>
        <v>Diabetic Risk</v>
      </c>
      <c r="N338" s="1" t="s">
        <v>15</v>
      </c>
      <c r="O338" s="1">
        <v>141</v>
      </c>
      <c r="P338" s="1" t="s">
        <v>14</v>
      </c>
      <c r="Q338" s="4" t="s">
        <v>14</v>
      </c>
      <c r="R338" s="1" t="str" cm="1">
        <f t="array" ref="R33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8" s="1">
        <f>IFERROR(Table1[[#This Row],[Cholesterol]]/Table1[[#This Row],[Max_Heart_Rate]],"")</f>
        <v>1.6808510638297873</v>
      </c>
    </row>
    <row r="339" spans="1:19">
      <c r="A339" s="3" t="s">
        <v>359</v>
      </c>
      <c r="B339" s="3" t="str">
        <f>RIGHT(Table1[[#This Row],[Patient_ID]],4)</f>
        <v>1337</v>
      </c>
      <c r="C339" s="1">
        <v>40</v>
      </c>
      <c r="D339" s="1" t="str">
        <f>VLOOKUP(Table1[[#This Row],[Age]],'Lookup &amp; Reference'!$G$2:$H$5,2,1)</f>
        <v>Low</v>
      </c>
      <c r="E339" s="1" t="s">
        <v>12</v>
      </c>
      <c r="F339" s="1" t="str">
        <f>_xlfn.CONCAT(LEFT(Table1[[#This Row],[Gender]],1),Table1[[#This Row],[Age]])</f>
        <v>F40</v>
      </c>
      <c r="G339" s="1" t="s">
        <v>22</v>
      </c>
      <c r="H339" s="1">
        <f>LEN(Table1[[#This Row],[Chest_Pain_Type]])</f>
        <v>15</v>
      </c>
      <c r="I339" s="1">
        <v>95</v>
      </c>
      <c r="J339" s="1" t="str" cm="1">
        <f t="array" ref="J33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39" s="1">
        <v>140</v>
      </c>
      <c r="L339" s="1" t="s">
        <v>14</v>
      </c>
      <c r="M339" s="1" t="str">
        <f>IF(Table1[[#This Row],[Fasting_Blood_Sugar]]="Yes","Diabetic Risk","Normal")</f>
        <v>Normal</v>
      </c>
      <c r="N339" s="1" t="s">
        <v>27</v>
      </c>
      <c r="O339" s="1">
        <v>109</v>
      </c>
      <c r="P339" s="1" t="s">
        <v>16</v>
      </c>
      <c r="Q339" s="4" t="s">
        <v>16</v>
      </c>
      <c r="R339" s="1" t="str" cm="1">
        <f t="array" ref="R33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39" s="1">
        <f>IFERROR(Table1[[#This Row],[Cholesterol]]/Table1[[#This Row],[Max_Heart_Rate]],"")</f>
        <v>1.2844036697247707</v>
      </c>
    </row>
    <row r="340" spans="1:19">
      <c r="A340" s="3" t="s">
        <v>360</v>
      </c>
      <c r="B340" s="3" t="str">
        <f>RIGHT(Table1[[#This Row],[Patient_ID]],4)</f>
        <v>1338</v>
      </c>
      <c r="C340" s="1">
        <v>79</v>
      </c>
      <c r="D340" s="1" t="str">
        <f>VLOOKUP(Table1[[#This Row],[Age]],'Lookup &amp; Reference'!$G$2:$H$5,2,1)</f>
        <v>High</v>
      </c>
      <c r="E340" s="1" t="s">
        <v>12</v>
      </c>
      <c r="F340" s="1" t="str">
        <f>_xlfn.CONCAT(LEFT(Table1[[#This Row],[Gender]],1),Table1[[#This Row],[Age]])</f>
        <v>F79</v>
      </c>
      <c r="G340" s="1" t="s">
        <v>25</v>
      </c>
      <c r="H340" s="1">
        <f>LEN(Table1[[#This Row],[Chest_Pain_Type]])</f>
        <v>12</v>
      </c>
      <c r="I340" s="1">
        <v>168</v>
      </c>
      <c r="J340" s="1" t="str" cm="1">
        <f t="array" ref="J34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40" s="1">
        <v>333</v>
      </c>
      <c r="L340" s="1" t="s">
        <v>14</v>
      </c>
      <c r="M340" s="1" t="str">
        <f>IF(Table1[[#This Row],[Fasting_Blood_Sugar]]="Yes","Diabetic Risk","Normal")</f>
        <v>Normal</v>
      </c>
      <c r="N340" s="1" t="s">
        <v>20</v>
      </c>
      <c r="O340" s="1">
        <v>121</v>
      </c>
      <c r="P340" s="1" t="s">
        <v>14</v>
      </c>
      <c r="Q340" s="4" t="s">
        <v>14</v>
      </c>
      <c r="R340" s="1" t="str" cm="1">
        <f t="array" ref="R34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40" s="1">
        <f>IFERROR(Table1[[#This Row],[Cholesterol]]/Table1[[#This Row],[Max_Heart_Rate]],"")</f>
        <v>2.7520661157024793</v>
      </c>
    </row>
    <row r="341" spans="1:19">
      <c r="A341" s="3" t="s">
        <v>361</v>
      </c>
      <c r="B341" s="3" t="str">
        <f>RIGHT(Table1[[#This Row],[Patient_ID]],4)</f>
        <v>1339</v>
      </c>
      <c r="C341" s="1">
        <v>50</v>
      </c>
      <c r="D341" s="1" t="str">
        <f>VLOOKUP(Table1[[#This Row],[Age]],'Lookup &amp; Reference'!$G$2:$H$5,2,1)</f>
        <v>Medium</v>
      </c>
      <c r="E341" s="1" t="s">
        <v>12</v>
      </c>
      <c r="F341" s="1" t="str">
        <f>_xlfn.CONCAT(LEFT(Table1[[#This Row],[Gender]],1),Table1[[#This Row],[Age]])</f>
        <v>F50</v>
      </c>
      <c r="G341" s="1" t="s">
        <v>19</v>
      </c>
      <c r="H341" s="1">
        <f>LEN(Table1[[#This Row],[Chest_Pain_Type]])</f>
        <v>14</v>
      </c>
      <c r="I341" s="1">
        <v>121</v>
      </c>
      <c r="J341" s="1" t="str" cm="1">
        <f t="array" ref="J34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41" s="1">
        <v>339</v>
      </c>
      <c r="L341" s="1" t="s">
        <v>16</v>
      </c>
      <c r="M341" s="1" t="str">
        <f>IF(Table1[[#This Row],[Fasting_Blood_Sugar]]="Yes","Diabetic Risk","Normal")</f>
        <v>Diabetic Risk</v>
      </c>
      <c r="N341" s="1" t="s">
        <v>20</v>
      </c>
      <c r="O341" s="1">
        <v>203</v>
      </c>
      <c r="P341" s="1" t="s">
        <v>14</v>
      </c>
      <c r="Q341" s="4" t="s">
        <v>16</v>
      </c>
      <c r="R341" s="1" t="str" cm="1">
        <f t="array" ref="R34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41" s="1">
        <f>IFERROR(Table1[[#This Row],[Cholesterol]]/Table1[[#This Row],[Max_Heart_Rate]],"")</f>
        <v>1.6699507389162562</v>
      </c>
    </row>
    <row r="342" spans="1:19">
      <c r="A342" s="3" t="s">
        <v>362</v>
      </c>
      <c r="B342" s="3" t="str">
        <f>RIGHT(Table1[[#This Row],[Patient_ID]],4)</f>
        <v>1340</v>
      </c>
      <c r="C342" s="1">
        <v>50</v>
      </c>
      <c r="D342" s="1" t="str">
        <f>VLOOKUP(Table1[[#This Row],[Age]],'Lookup &amp; Reference'!$G$2:$H$5,2,1)</f>
        <v>Medium</v>
      </c>
      <c r="E342" s="1" t="s">
        <v>12</v>
      </c>
      <c r="F342" s="1" t="str">
        <f>_xlfn.CONCAT(LEFT(Table1[[#This Row],[Gender]],1),Table1[[#This Row],[Age]])</f>
        <v>F50</v>
      </c>
      <c r="G342" s="1" t="s">
        <v>22</v>
      </c>
      <c r="H342" s="1">
        <f>LEN(Table1[[#This Row],[Chest_Pain_Type]])</f>
        <v>15</v>
      </c>
      <c r="I342" s="1">
        <v>140</v>
      </c>
      <c r="J342" s="1" t="str" cm="1">
        <f t="array" ref="J34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42" s="1">
        <v>256</v>
      </c>
      <c r="L342" s="1" t="s">
        <v>16</v>
      </c>
      <c r="M342" s="1" t="str">
        <f>IF(Table1[[#This Row],[Fasting_Blood_Sugar]]="Yes","Diabetic Risk","Normal")</f>
        <v>Diabetic Risk</v>
      </c>
      <c r="N342" s="1" t="s">
        <v>15</v>
      </c>
      <c r="O342" s="1">
        <v>103</v>
      </c>
      <c r="P342" s="1" t="s">
        <v>14</v>
      </c>
      <c r="Q342" s="4" t="s">
        <v>14</v>
      </c>
      <c r="R342" s="1" t="str" cm="1">
        <f t="array" ref="R34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42" s="1">
        <f>IFERROR(Table1[[#This Row],[Cholesterol]]/Table1[[#This Row],[Max_Heart_Rate]],"")</f>
        <v>2.4854368932038833</v>
      </c>
    </row>
    <row r="343" spans="1:19">
      <c r="A343" s="3" t="s">
        <v>363</v>
      </c>
      <c r="B343" s="3" t="str">
        <f>RIGHT(Table1[[#This Row],[Patient_ID]],4)</f>
        <v>1341</v>
      </c>
      <c r="C343" s="1">
        <v>74</v>
      </c>
      <c r="D343" s="1" t="str">
        <f>VLOOKUP(Table1[[#This Row],[Age]],'Lookup &amp; Reference'!$G$2:$H$5,2,1)</f>
        <v>High</v>
      </c>
      <c r="E343" s="1" t="s">
        <v>12</v>
      </c>
      <c r="F343" s="1" t="str">
        <f>_xlfn.CONCAT(LEFT(Table1[[#This Row],[Gender]],1),Table1[[#This Row],[Age]])</f>
        <v>F74</v>
      </c>
      <c r="G343" s="1" t="s">
        <v>22</v>
      </c>
      <c r="H343" s="1">
        <f>LEN(Table1[[#This Row],[Chest_Pain_Type]])</f>
        <v>15</v>
      </c>
      <c r="I343" s="1">
        <v>164</v>
      </c>
      <c r="J343" s="1" t="str" cm="1">
        <f t="array" ref="J34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43" s="1">
        <v>145</v>
      </c>
      <c r="L343" s="1" t="s">
        <v>14</v>
      </c>
      <c r="M343" s="1" t="str">
        <f>IF(Table1[[#This Row],[Fasting_Blood_Sugar]]="Yes","Diabetic Risk","Normal")</f>
        <v>Normal</v>
      </c>
      <c r="N343" s="1" t="s">
        <v>27</v>
      </c>
      <c r="O343" s="1">
        <v>139</v>
      </c>
      <c r="P343" s="1" t="s">
        <v>14</v>
      </c>
      <c r="Q343" s="4" t="s">
        <v>14</v>
      </c>
      <c r="R343" s="1" t="str" cm="1">
        <f t="array" ref="R34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43" s="1">
        <f>IFERROR(Table1[[#This Row],[Cholesterol]]/Table1[[#This Row],[Max_Heart_Rate]],"")</f>
        <v>1.0431654676258992</v>
      </c>
    </row>
    <row r="344" spans="1:19">
      <c r="A344" s="3" t="s">
        <v>364</v>
      </c>
      <c r="B344" s="3" t="str">
        <f>RIGHT(Table1[[#This Row],[Patient_ID]],4)</f>
        <v>1342</v>
      </c>
      <c r="C344" s="1">
        <v>58</v>
      </c>
      <c r="D344" s="1" t="str">
        <f>VLOOKUP(Table1[[#This Row],[Age]],'Lookup &amp; Reference'!$G$2:$H$5,2,1)</f>
        <v>Medium</v>
      </c>
      <c r="E344" s="1" t="s">
        <v>12</v>
      </c>
      <c r="F344" s="1" t="str">
        <f>_xlfn.CONCAT(LEFT(Table1[[#This Row],[Gender]],1),Table1[[#This Row],[Age]])</f>
        <v>F58</v>
      </c>
      <c r="G344" s="1" t="s">
        <v>22</v>
      </c>
      <c r="H344" s="1">
        <f>LEN(Table1[[#This Row],[Chest_Pain_Type]])</f>
        <v>15</v>
      </c>
      <c r="I344" s="1">
        <v>147</v>
      </c>
      <c r="J344" s="1" t="str" cm="1">
        <f t="array" ref="J34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44" s="1">
        <v>128</v>
      </c>
      <c r="L344" s="1" t="s">
        <v>14</v>
      </c>
      <c r="M344" s="1" t="str">
        <f>IF(Table1[[#This Row],[Fasting_Blood_Sugar]]="Yes","Diabetic Risk","Normal")</f>
        <v>Normal</v>
      </c>
      <c r="N344" s="1" t="s">
        <v>20</v>
      </c>
      <c r="O344" s="1">
        <v>117</v>
      </c>
      <c r="P344" s="1" t="s">
        <v>16</v>
      </c>
      <c r="Q344" s="4" t="s">
        <v>14</v>
      </c>
      <c r="R344" s="1" t="str" cm="1">
        <f t="array" ref="R34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44" s="1">
        <f>IFERROR(Table1[[#This Row],[Cholesterol]]/Table1[[#This Row],[Max_Heart_Rate]],"")</f>
        <v>1.0940170940170941</v>
      </c>
    </row>
    <row r="345" spans="1:19">
      <c r="A345" s="3" t="s">
        <v>365</v>
      </c>
      <c r="B345" s="3" t="str">
        <f>RIGHT(Table1[[#This Row],[Patient_ID]],4)</f>
        <v>1343</v>
      </c>
      <c r="C345" s="1">
        <v>66</v>
      </c>
      <c r="D345" s="1" t="str">
        <f>VLOOKUP(Table1[[#This Row],[Age]],'Lookup &amp; Reference'!$G$2:$H$5,2,1)</f>
        <v>High</v>
      </c>
      <c r="E345" s="1" t="s">
        <v>12</v>
      </c>
      <c r="F345" s="1" t="str">
        <f>_xlfn.CONCAT(LEFT(Table1[[#This Row],[Gender]],1),Table1[[#This Row],[Age]])</f>
        <v>F66</v>
      </c>
      <c r="G345" s="1" t="s">
        <v>13</v>
      </c>
      <c r="H345" s="1">
        <f>LEN(Table1[[#This Row],[Chest_Pain_Type]])</f>
        <v>11</v>
      </c>
      <c r="I345" s="1">
        <v>176</v>
      </c>
      <c r="J345" s="1" t="str" cm="1">
        <f t="array" ref="J34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45" s="1">
        <v>134</v>
      </c>
      <c r="L345" s="1" t="s">
        <v>16</v>
      </c>
      <c r="M345" s="1" t="str">
        <f>IF(Table1[[#This Row],[Fasting_Blood_Sugar]]="Yes","Diabetic Risk","Normal")</f>
        <v>Diabetic Risk</v>
      </c>
      <c r="N345" s="1" t="s">
        <v>15</v>
      </c>
      <c r="O345" s="1">
        <v>199</v>
      </c>
      <c r="P345" s="1" t="s">
        <v>14</v>
      </c>
      <c r="Q345" s="4" t="s">
        <v>16</v>
      </c>
      <c r="R345" s="1" t="str" cm="1">
        <f t="array" ref="R34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45" s="1">
        <f>IFERROR(Table1[[#This Row],[Cholesterol]]/Table1[[#This Row],[Max_Heart_Rate]],"")</f>
        <v>0.6733668341708543</v>
      </c>
    </row>
    <row r="346" spans="1:19">
      <c r="A346" s="3" t="s">
        <v>366</v>
      </c>
      <c r="B346" s="3" t="str">
        <f>RIGHT(Table1[[#This Row],[Patient_ID]],4)</f>
        <v>1344</v>
      </c>
      <c r="C346" s="1">
        <v>66</v>
      </c>
      <c r="D346" s="1" t="str">
        <f>VLOOKUP(Table1[[#This Row],[Age]],'Lookup &amp; Reference'!$G$2:$H$5,2,1)</f>
        <v>High</v>
      </c>
      <c r="E346" s="1" t="s">
        <v>12</v>
      </c>
      <c r="F346" s="1" t="str">
        <f>_xlfn.CONCAT(LEFT(Table1[[#This Row],[Gender]],1),Table1[[#This Row],[Age]])</f>
        <v>F66</v>
      </c>
      <c r="G346" s="1" t="s">
        <v>13</v>
      </c>
      <c r="H346" s="1">
        <f>LEN(Table1[[#This Row],[Chest_Pain_Type]])</f>
        <v>11</v>
      </c>
      <c r="I346" s="1">
        <v>115</v>
      </c>
      <c r="J346" s="1" t="str" cm="1">
        <f t="array" ref="J34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46" s="1">
        <v>129</v>
      </c>
      <c r="L346" s="1" t="s">
        <v>16</v>
      </c>
      <c r="M346" s="1" t="str">
        <f>IF(Table1[[#This Row],[Fasting_Blood_Sugar]]="Yes","Diabetic Risk","Normal")</f>
        <v>Diabetic Risk</v>
      </c>
      <c r="N346" s="1" t="s">
        <v>15</v>
      </c>
      <c r="O346" s="1">
        <v>205</v>
      </c>
      <c r="P346" s="1" t="s">
        <v>16</v>
      </c>
      <c r="Q346" s="4" t="s">
        <v>14</v>
      </c>
      <c r="R346" s="1" t="str" cm="1">
        <f t="array" ref="R34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46" s="1">
        <f>IFERROR(Table1[[#This Row],[Cholesterol]]/Table1[[#This Row],[Max_Heart_Rate]],"")</f>
        <v>0.62926829268292683</v>
      </c>
    </row>
    <row r="347" spans="1:19">
      <c r="A347" s="3" t="s">
        <v>367</v>
      </c>
      <c r="B347" s="3" t="str">
        <f>RIGHT(Table1[[#This Row],[Patient_ID]],4)</f>
        <v>1345</v>
      </c>
      <c r="C347" s="1">
        <v>73</v>
      </c>
      <c r="D347" s="1" t="str">
        <f>VLOOKUP(Table1[[#This Row],[Age]],'Lookup &amp; Reference'!$G$2:$H$5,2,1)</f>
        <v>High</v>
      </c>
      <c r="E347" s="1" t="s">
        <v>18</v>
      </c>
      <c r="F347" s="1" t="str">
        <f>_xlfn.CONCAT(LEFT(Table1[[#This Row],[Gender]],1),Table1[[#This Row],[Age]])</f>
        <v>M73</v>
      </c>
      <c r="G347" s="1" t="s">
        <v>25</v>
      </c>
      <c r="H347" s="1">
        <f>LEN(Table1[[#This Row],[Chest_Pain_Type]])</f>
        <v>12</v>
      </c>
      <c r="I347" s="1">
        <v>187</v>
      </c>
      <c r="J347" s="1" t="str" cm="1">
        <f t="array" ref="J34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47" s="1">
        <v>335</v>
      </c>
      <c r="L347" s="1" t="s">
        <v>16</v>
      </c>
      <c r="M347" s="1" t="str">
        <f>IF(Table1[[#This Row],[Fasting_Blood_Sugar]]="Yes","Diabetic Risk","Normal")</f>
        <v>Diabetic Risk</v>
      </c>
      <c r="N347" s="1" t="s">
        <v>20</v>
      </c>
      <c r="O347" s="1">
        <v>142</v>
      </c>
      <c r="P347" s="1" t="s">
        <v>16</v>
      </c>
      <c r="Q347" s="4" t="s">
        <v>14</v>
      </c>
      <c r="R347" s="1" t="str" cm="1">
        <f t="array" ref="R34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47" s="1">
        <f>IFERROR(Table1[[#This Row],[Cholesterol]]/Table1[[#This Row],[Max_Heart_Rate]],"")</f>
        <v>2.359154929577465</v>
      </c>
    </row>
    <row r="348" spans="1:19">
      <c r="A348" s="3" t="s">
        <v>368</v>
      </c>
      <c r="B348" s="3" t="str">
        <f>RIGHT(Table1[[#This Row],[Patient_ID]],4)</f>
        <v>1346</v>
      </c>
      <c r="C348" s="1">
        <v>79</v>
      </c>
      <c r="D348" s="1" t="str">
        <f>VLOOKUP(Table1[[#This Row],[Age]],'Lookup &amp; Reference'!$G$2:$H$5,2,1)</f>
        <v>High</v>
      </c>
      <c r="E348" s="1" t="s">
        <v>18</v>
      </c>
      <c r="F348" s="1" t="str">
        <f>_xlfn.CONCAT(LEFT(Table1[[#This Row],[Gender]],1),Table1[[#This Row],[Age]])</f>
        <v>M79</v>
      </c>
      <c r="G348" s="1" t="s">
        <v>19</v>
      </c>
      <c r="H348" s="1">
        <f>LEN(Table1[[#This Row],[Chest_Pain_Type]])</f>
        <v>14</v>
      </c>
      <c r="I348" s="1">
        <v>135</v>
      </c>
      <c r="J348" s="1" t="str" cm="1">
        <f t="array" ref="J34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48" s="1">
        <v>241</v>
      </c>
      <c r="L348" s="1" t="s">
        <v>14</v>
      </c>
      <c r="M348" s="1" t="str">
        <f>IF(Table1[[#This Row],[Fasting_Blood_Sugar]]="Yes","Diabetic Risk","Normal")</f>
        <v>Normal</v>
      </c>
      <c r="N348" s="1" t="s">
        <v>20</v>
      </c>
      <c r="O348" s="1">
        <v>113</v>
      </c>
      <c r="P348" s="1" t="s">
        <v>16</v>
      </c>
      <c r="Q348" s="4" t="s">
        <v>16</v>
      </c>
      <c r="R348" s="1" t="str" cm="1">
        <f t="array" ref="R34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48" s="1">
        <f>IFERROR(Table1[[#This Row],[Cholesterol]]/Table1[[#This Row],[Max_Heart_Rate]],"")</f>
        <v>2.1327433628318584</v>
      </c>
    </row>
    <row r="349" spans="1:19">
      <c r="A349" s="3" t="s">
        <v>369</v>
      </c>
      <c r="B349" s="3" t="str">
        <f>RIGHT(Table1[[#This Row],[Patient_ID]],4)</f>
        <v>1347</v>
      </c>
      <c r="C349" s="1">
        <v>36</v>
      </c>
      <c r="D349" s="1" t="str">
        <f>VLOOKUP(Table1[[#This Row],[Age]],'Lookup &amp; Reference'!$G$2:$H$5,2,1)</f>
        <v>Low</v>
      </c>
      <c r="E349" s="1" t="s">
        <v>18</v>
      </c>
      <c r="F349" s="1" t="str">
        <f>_xlfn.CONCAT(LEFT(Table1[[#This Row],[Gender]],1),Table1[[#This Row],[Age]])</f>
        <v>M36</v>
      </c>
      <c r="G349" s="1" t="s">
        <v>25</v>
      </c>
      <c r="H349" s="1">
        <f>LEN(Table1[[#This Row],[Chest_Pain_Type]])</f>
        <v>12</v>
      </c>
      <c r="I349" s="1">
        <v>187</v>
      </c>
      <c r="J349" s="1" t="str" cm="1">
        <f t="array" ref="J34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49" s="1">
        <v>240</v>
      </c>
      <c r="L349" s="1" t="s">
        <v>16</v>
      </c>
      <c r="M349" s="1" t="str">
        <f>IF(Table1[[#This Row],[Fasting_Blood_Sugar]]="Yes","Diabetic Risk","Normal")</f>
        <v>Diabetic Risk</v>
      </c>
      <c r="N349" s="1" t="s">
        <v>15</v>
      </c>
      <c r="O349" s="1">
        <v>168</v>
      </c>
      <c r="P349" s="1" t="s">
        <v>16</v>
      </c>
      <c r="Q349" s="4" t="s">
        <v>14</v>
      </c>
      <c r="R349" s="1" t="str" cm="1">
        <f t="array" ref="R34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49" s="1">
        <f>IFERROR(Table1[[#This Row],[Cholesterol]]/Table1[[#This Row],[Max_Heart_Rate]],"")</f>
        <v>1.4285714285714286</v>
      </c>
    </row>
    <row r="350" spans="1:19">
      <c r="A350" s="3" t="s">
        <v>370</v>
      </c>
      <c r="B350" s="3" t="str">
        <f>RIGHT(Table1[[#This Row],[Patient_ID]],4)</f>
        <v>1348</v>
      </c>
      <c r="C350" s="1">
        <v>55</v>
      </c>
      <c r="D350" s="1" t="str">
        <f>VLOOKUP(Table1[[#This Row],[Age]],'Lookup &amp; Reference'!$G$2:$H$5,2,1)</f>
        <v>Medium</v>
      </c>
      <c r="E350" s="1" t="s">
        <v>18</v>
      </c>
      <c r="F350" s="1" t="str">
        <f>_xlfn.CONCAT(LEFT(Table1[[#This Row],[Gender]],1),Table1[[#This Row],[Age]])</f>
        <v>M55</v>
      </c>
      <c r="G350" s="1" t="s">
        <v>19</v>
      </c>
      <c r="H350" s="1">
        <f>LEN(Table1[[#This Row],[Chest_Pain_Type]])</f>
        <v>14</v>
      </c>
      <c r="I350" s="1">
        <v>118</v>
      </c>
      <c r="J350" s="1" t="str" cm="1">
        <f t="array" ref="J35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50" s="1">
        <v>244</v>
      </c>
      <c r="L350" s="1" t="s">
        <v>14</v>
      </c>
      <c r="M350" s="1" t="str">
        <f>IF(Table1[[#This Row],[Fasting_Blood_Sugar]]="Yes","Diabetic Risk","Normal")</f>
        <v>Normal</v>
      </c>
      <c r="N350" s="1" t="s">
        <v>27</v>
      </c>
      <c r="O350" s="1">
        <v>111</v>
      </c>
      <c r="P350" s="1" t="s">
        <v>14</v>
      </c>
      <c r="Q350" s="4" t="s">
        <v>16</v>
      </c>
      <c r="R350" s="1" t="str" cm="1">
        <f t="array" ref="R35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50" s="1">
        <f>IFERROR(Table1[[#This Row],[Cholesterol]]/Table1[[#This Row],[Max_Heart_Rate]],"")</f>
        <v>2.1981981981981984</v>
      </c>
    </row>
    <row r="351" spans="1:19">
      <c r="A351" s="3" t="s">
        <v>371</v>
      </c>
      <c r="B351" s="3" t="str">
        <f>RIGHT(Table1[[#This Row],[Patient_ID]],4)</f>
        <v>1349</v>
      </c>
      <c r="C351" s="1">
        <v>55</v>
      </c>
      <c r="D351" s="1" t="str">
        <f>VLOOKUP(Table1[[#This Row],[Age]],'Lookup &amp; Reference'!$G$2:$H$5,2,1)</f>
        <v>Medium</v>
      </c>
      <c r="E351" s="1" t="s">
        <v>12</v>
      </c>
      <c r="F351" s="1" t="str">
        <f>_xlfn.CONCAT(LEFT(Table1[[#This Row],[Gender]],1),Table1[[#This Row],[Age]])</f>
        <v>F55</v>
      </c>
      <c r="G351" s="1" t="s">
        <v>13</v>
      </c>
      <c r="H351" s="1">
        <f>LEN(Table1[[#This Row],[Chest_Pain_Type]])</f>
        <v>11</v>
      </c>
      <c r="I351" s="1">
        <v>93</v>
      </c>
      <c r="J351" s="1" t="str" cm="1">
        <f t="array" ref="J35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51" s="1">
        <v>289</v>
      </c>
      <c r="L351" s="1" t="s">
        <v>16</v>
      </c>
      <c r="M351" s="1" t="str">
        <f>IF(Table1[[#This Row],[Fasting_Blood_Sugar]]="Yes","Diabetic Risk","Normal")</f>
        <v>Diabetic Risk</v>
      </c>
      <c r="N351" s="1" t="s">
        <v>27</v>
      </c>
      <c r="O351" s="1">
        <v>119</v>
      </c>
      <c r="P351" s="1" t="s">
        <v>14</v>
      </c>
      <c r="Q351" s="4" t="s">
        <v>16</v>
      </c>
      <c r="R351" s="1" t="str" cm="1">
        <f t="array" ref="R35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51" s="1">
        <f>IFERROR(Table1[[#This Row],[Cholesterol]]/Table1[[#This Row],[Max_Heart_Rate]],"")</f>
        <v>2.4285714285714284</v>
      </c>
    </row>
    <row r="352" spans="1:19">
      <c r="A352" s="3" t="s">
        <v>372</v>
      </c>
      <c r="B352" s="3" t="str">
        <f>RIGHT(Table1[[#This Row],[Patient_ID]],4)</f>
        <v>1350</v>
      </c>
      <c r="C352" s="1">
        <v>62</v>
      </c>
      <c r="D352" s="1" t="str">
        <f>VLOOKUP(Table1[[#This Row],[Age]],'Lookup &amp; Reference'!$G$2:$H$5,2,1)</f>
        <v>High</v>
      </c>
      <c r="E352" s="1" t="s">
        <v>12</v>
      </c>
      <c r="F352" s="1" t="str">
        <f>_xlfn.CONCAT(LEFT(Table1[[#This Row],[Gender]],1),Table1[[#This Row],[Age]])</f>
        <v>F62</v>
      </c>
      <c r="G352" s="1" t="s">
        <v>13</v>
      </c>
      <c r="H352" s="1">
        <f>LEN(Table1[[#This Row],[Chest_Pain_Type]])</f>
        <v>11</v>
      </c>
      <c r="I352" s="1">
        <v>170</v>
      </c>
      <c r="J352" s="1" t="str" cm="1">
        <f t="array" ref="J35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52" s="1">
        <v>191</v>
      </c>
      <c r="L352" s="1" t="s">
        <v>16</v>
      </c>
      <c r="M352" s="1" t="str">
        <f>IF(Table1[[#This Row],[Fasting_Blood_Sugar]]="Yes","Diabetic Risk","Normal")</f>
        <v>Diabetic Risk</v>
      </c>
      <c r="N352" s="1" t="s">
        <v>27</v>
      </c>
      <c r="O352" s="1">
        <v>152</v>
      </c>
      <c r="P352" s="1" t="s">
        <v>16</v>
      </c>
      <c r="Q352" s="4" t="s">
        <v>16</v>
      </c>
      <c r="R352" s="1" t="str" cm="1">
        <f t="array" ref="R35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52" s="1">
        <f>IFERROR(Table1[[#This Row],[Cholesterol]]/Table1[[#This Row],[Max_Heart_Rate]],"")</f>
        <v>1.256578947368421</v>
      </c>
    </row>
    <row r="353" spans="1:19">
      <c r="A353" s="3" t="s">
        <v>373</v>
      </c>
      <c r="B353" s="3" t="str">
        <f>RIGHT(Table1[[#This Row],[Patient_ID]],4)</f>
        <v>1351</v>
      </c>
      <c r="C353" s="1">
        <v>49</v>
      </c>
      <c r="D353" s="1" t="str">
        <f>VLOOKUP(Table1[[#This Row],[Age]],'Lookup &amp; Reference'!$G$2:$H$5,2,1)</f>
        <v>Medium</v>
      </c>
      <c r="E353" s="1" t="s">
        <v>18</v>
      </c>
      <c r="F353" s="1" t="str">
        <f>_xlfn.CONCAT(LEFT(Table1[[#This Row],[Gender]],1),Table1[[#This Row],[Age]])</f>
        <v>M49</v>
      </c>
      <c r="G353" s="1" t="s">
        <v>13</v>
      </c>
      <c r="H353" s="1">
        <f>LEN(Table1[[#This Row],[Chest_Pain_Type]])</f>
        <v>11</v>
      </c>
      <c r="I353" s="1">
        <v>188</v>
      </c>
      <c r="J353" s="1" t="str" cm="1">
        <f t="array" ref="J35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53" s="1">
        <v>271</v>
      </c>
      <c r="L353" s="1" t="s">
        <v>16</v>
      </c>
      <c r="M353" s="1" t="str">
        <f>IF(Table1[[#This Row],[Fasting_Blood_Sugar]]="Yes","Diabetic Risk","Normal")</f>
        <v>Diabetic Risk</v>
      </c>
      <c r="N353" s="1" t="s">
        <v>15</v>
      </c>
      <c r="O353" s="1">
        <v>93</v>
      </c>
      <c r="P353" s="1" t="s">
        <v>16</v>
      </c>
      <c r="Q353" s="4" t="s">
        <v>16</v>
      </c>
      <c r="R353" s="1" t="str" cm="1">
        <f t="array" ref="R35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53" s="1">
        <f>IFERROR(Table1[[#This Row],[Cholesterol]]/Table1[[#This Row],[Max_Heart_Rate]],"")</f>
        <v>2.913978494623656</v>
      </c>
    </row>
    <row r="354" spans="1:19">
      <c r="A354" s="3" t="s">
        <v>374</v>
      </c>
      <c r="B354" s="3" t="str">
        <f>RIGHT(Table1[[#This Row],[Patient_ID]],4)</f>
        <v>1352</v>
      </c>
      <c r="C354" s="1">
        <v>58</v>
      </c>
      <c r="D354" s="1" t="str">
        <f>VLOOKUP(Table1[[#This Row],[Age]],'Lookup &amp; Reference'!$G$2:$H$5,2,1)</f>
        <v>Medium</v>
      </c>
      <c r="E354" s="1" t="s">
        <v>12</v>
      </c>
      <c r="F354" s="1" t="str">
        <f>_xlfn.CONCAT(LEFT(Table1[[#This Row],[Gender]],1),Table1[[#This Row],[Age]])</f>
        <v>F58</v>
      </c>
      <c r="G354" s="1" t="s">
        <v>25</v>
      </c>
      <c r="H354" s="1">
        <f>LEN(Table1[[#This Row],[Chest_Pain_Type]])</f>
        <v>12</v>
      </c>
      <c r="I354" s="1">
        <v>102</v>
      </c>
      <c r="J354" s="1" t="str" cm="1">
        <f t="array" ref="J35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54" s="1">
        <v>327</v>
      </c>
      <c r="L354" s="1" t="s">
        <v>16</v>
      </c>
      <c r="M354" s="1" t="str">
        <f>IF(Table1[[#This Row],[Fasting_Blood_Sugar]]="Yes","Diabetic Risk","Normal")</f>
        <v>Diabetic Risk</v>
      </c>
      <c r="N354" s="1" t="s">
        <v>20</v>
      </c>
      <c r="O354" s="1">
        <v>166</v>
      </c>
      <c r="P354" s="1" t="s">
        <v>16</v>
      </c>
      <c r="Q354" s="4" t="s">
        <v>16</v>
      </c>
      <c r="R354" s="1" t="str" cm="1">
        <f t="array" ref="R35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54" s="1">
        <f>IFERROR(Table1[[#This Row],[Cholesterol]]/Table1[[#This Row],[Max_Heart_Rate]],"")</f>
        <v>1.9698795180722892</v>
      </c>
    </row>
    <row r="355" spans="1:19">
      <c r="A355" s="3" t="s">
        <v>375</v>
      </c>
      <c r="B355" s="3" t="str">
        <f>RIGHT(Table1[[#This Row],[Patient_ID]],4)</f>
        <v>1353</v>
      </c>
      <c r="C355" s="1">
        <v>61</v>
      </c>
      <c r="D355" s="1" t="str">
        <f>VLOOKUP(Table1[[#This Row],[Age]],'Lookup &amp; Reference'!$G$2:$H$5,2,1)</f>
        <v>High</v>
      </c>
      <c r="E355" s="1" t="s">
        <v>18</v>
      </c>
      <c r="F355" s="1" t="str">
        <f>_xlfn.CONCAT(LEFT(Table1[[#This Row],[Gender]],1),Table1[[#This Row],[Age]])</f>
        <v>M61</v>
      </c>
      <c r="G355" s="1" t="s">
        <v>22</v>
      </c>
      <c r="H355" s="1">
        <f>LEN(Table1[[#This Row],[Chest_Pain_Type]])</f>
        <v>15</v>
      </c>
      <c r="I355" s="1">
        <v>128</v>
      </c>
      <c r="J355" s="1" t="str" cm="1">
        <f t="array" ref="J35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55" s="1">
        <v>168</v>
      </c>
      <c r="L355" s="1" t="s">
        <v>14</v>
      </c>
      <c r="M355" s="1" t="str">
        <f>IF(Table1[[#This Row],[Fasting_Blood_Sugar]]="Yes","Diabetic Risk","Normal")</f>
        <v>Normal</v>
      </c>
      <c r="N355" s="1" t="s">
        <v>15</v>
      </c>
      <c r="O355" s="1">
        <v>148</v>
      </c>
      <c r="P355" s="1" t="s">
        <v>16</v>
      </c>
      <c r="Q355" s="4" t="s">
        <v>14</v>
      </c>
      <c r="R355" s="1" t="str" cm="1">
        <f t="array" ref="R35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55" s="1">
        <f>IFERROR(Table1[[#This Row],[Cholesterol]]/Table1[[#This Row],[Max_Heart_Rate]],"")</f>
        <v>1.1351351351351351</v>
      </c>
    </row>
    <row r="356" spans="1:19">
      <c r="A356" s="3" t="s">
        <v>376</v>
      </c>
      <c r="B356" s="3" t="str">
        <f>RIGHT(Table1[[#This Row],[Patient_ID]],4)</f>
        <v>1354</v>
      </c>
      <c r="C356" s="1">
        <v>56</v>
      </c>
      <c r="D356" s="1" t="str">
        <f>VLOOKUP(Table1[[#This Row],[Age]],'Lookup &amp; Reference'!$G$2:$H$5,2,1)</f>
        <v>Medium</v>
      </c>
      <c r="E356" s="1" t="s">
        <v>12</v>
      </c>
      <c r="F356" s="1" t="str">
        <f>_xlfn.CONCAT(LEFT(Table1[[#This Row],[Gender]],1),Table1[[#This Row],[Age]])</f>
        <v>F56</v>
      </c>
      <c r="G356" s="1" t="s">
        <v>22</v>
      </c>
      <c r="H356" s="1">
        <f>LEN(Table1[[#This Row],[Chest_Pain_Type]])</f>
        <v>15</v>
      </c>
      <c r="I356" s="1">
        <v>104</v>
      </c>
      <c r="J356" s="1" t="str" cm="1">
        <f t="array" ref="J35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56" s="1">
        <v>273</v>
      </c>
      <c r="L356" s="1" t="s">
        <v>14</v>
      </c>
      <c r="M356" s="1" t="str">
        <f>IF(Table1[[#This Row],[Fasting_Blood_Sugar]]="Yes","Diabetic Risk","Normal")</f>
        <v>Normal</v>
      </c>
      <c r="N356" s="1" t="s">
        <v>20</v>
      </c>
      <c r="O356" s="1">
        <v>176</v>
      </c>
      <c r="P356" s="1" t="s">
        <v>14</v>
      </c>
      <c r="Q356" s="4" t="s">
        <v>16</v>
      </c>
      <c r="R356" s="1" t="str" cm="1">
        <f t="array" ref="R35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56" s="1">
        <f>IFERROR(Table1[[#This Row],[Cholesterol]]/Table1[[#This Row],[Max_Heart_Rate]],"")</f>
        <v>1.5511363636363635</v>
      </c>
    </row>
    <row r="357" spans="1:19">
      <c r="A357" s="3" t="s">
        <v>377</v>
      </c>
      <c r="B357" s="3" t="str">
        <f>RIGHT(Table1[[#This Row],[Patient_ID]],4)</f>
        <v>1355</v>
      </c>
      <c r="C357" s="1">
        <v>75</v>
      </c>
      <c r="D357" s="1" t="str">
        <f>VLOOKUP(Table1[[#This Row],[Age]],'Lookup &amp; Reference'!$G$2:$H$5,2,1)</f>
        <v>High</v>
      </c>
      <c r="E357" s="1" t="s">
        <v>18</v>
      </c>
      <c r="F357" s="1" t="str">
        <f>_xlfn.CONCAT(LEFT(Table1[[#This Row],[Gender]],1),Table1[[#This Row],[Age]])</f>
        <v>M75</v>
      </c>
      <c r="G357" s="1" t="s">
        <v>13</v>
      </c>
      <c r="H357" s="1">
        <f>LEN(Table1[[#This Row],[Chest_Pain_Type]])</f>
        <v>11</v>
      </c>
      <c r="I357" s="1">
        <v>118</v>
      </c>
      <c r="J357" s="1" t="str" cm="1">
        <f t="array" ref="J35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57" s="1">
        <v>210</v>
      </c>
      <c r="L357" s="1" t="s">
        <v>16</v>
      </c>
      <c r="M357" s="1" t="str">
        <f>IF(Table1[[#This Row],[Fasting_Blood_Sugar]]="Yes","Diabetic Risk","Normal")</f>
        <v>Diabetic Risk</v>
      </c>
      <c r="N357" s="1" t="s">
        <v>27</v>
      </c>
      <c r="O357" s="1">
        <v>97</v>
      </c>
      <c r="P357" s="1" t="s">
        <v>16</v>
      </c>
      <c r="Q357" s="4" t="s">
        <v>16</v>
      </c>
      <c r="R357" s="1" t="str" cm="1">
        <f t="array" ref="R35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57" s="1">
        <f>IFERROR(Table1[[#This Row],[Cholesterol]]/Table1[[#This Row],[Max_Heart_Rate]],"")</f>
        <v>2.1649484536082473</v>
      </c>
    </row>
    <row r="358" spans="1:19">
      <c r="A358" s="3" t="s">
        <v>378</v>
      </c>
      <c r="B358" s="3" t="str">
        <f>RIGHT(Table1[[#This Row],[Patient_ID]],4)</f>
        <v>1356</v>
      </c>
      <c r="C358" s="1">
        <v>61</v>
      </c>
      <c r="D358" s="1" t="str">
        <f>VLOOKUP(Table1[[#This Row],[Age]],'Lookup &amp; Reference'!$G$2:$H$5,2,1)</f>
        <v>High</v>
      </c>
      <c r="E358" s="1" t="s">
        <v>12</v>
      </c>
      <c r="F358" s="1" t="str">
        <f>_xlfn.CONCAT(LEFT(Table1[[#This Row],[Gender]],1),Table1[[#This Row],[Age]])</f>
        <v>F61</v>
      </c>
      <c r="G358" s="1" t="s">
        <v>22</v>
      </c>
      <c r="H358" s="1">
        <f>LEN(Table1[[#This Row],[Chest_Pain_Type]])</f>
        <v>15</v>
      </c>
      <c r="I358" s="1">
        <v>118</v>
      </c>
      <c r="J358" s="1" t="str" cm="1">
        <f t="array" ref="J35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58" s="1">
        <v>156</v>
      </c>
      <c r="L358" s="1" t="s">
        <v>14</v>
      </c>
      <c r="M358" s="1" t="str">
        <f>IF(Table1[[#This Row],[Fasting_Blood_Sugar]]="Yes","Diabetic Risk","Normal")</f>
        <v>Normal</v>
      </c>
      <c r="N358" s="1" t="s">
        <v>27</v>
      </c>
      <c r="O358" s="1">
        <v>171</v>
      </c>
      <c r="P358" s="1" t="s">
        <v>14</v>
      </c>
      <c r="Q358" s="4" t="s">
        <v>16</v>
      </c>
      <c r="R358" s="1" t="str" cm="1">
        <f t="array" ref="R35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58" s="1">
        <f>IFERROR(Table1[[#This Row],[Cholesterol]]/Table1[[#This Row],[Max_Heart_Rate]],"")</f>
        <v>0.91228070175438591</v>
      </c>
    </row>
    <row r="359" spans="1:19">
      <c r="A359" s="3" t="s">
        <v>379</v>
      </c>
      <c r="B359" s="3" t="str">
        <f>RIGHT(Table1[[#This Row],[Patient_ID]],4)</f>
        <v>1357</v>
      </c>
      <c r="C359" s="1">
        <v>33</v>
      </c>
      <c r="D359" s="1" t="str">
        <f>VLOOKUP(Table1[[#This Row],[Age]],'Lookup &amp; Reference'!$G$2:$H$5,2,1)</f>
        <v>Low</v>
      </c>
      <c r="E359" s="1" t="s">
        <v>12</v>
      </c>
      <c r="F359" s="1" t="str">
        <f>_xlfn.CONCAT(LEFT(Table1[[#This Row],[Gender]],1),Table1[[#This Row],[Age]])</f>
        <v>F33</v>
      </c>
      <c r="G359" s="1" t="s">
        <v>22</v>
      </c>
      <c r="H359" s="1">
        <f>LEN(Table1[[#This Row],[Chest_Pain_Type]])</f>
        <v>15</v>
      </c>
      <c r="I359" s="1">
        <v>164</v>
      </c>
      <c r="J359" s="1" t="str" cm="1">
        <f t="array" ref="J35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59" s="1">
        <v>187</v>
      </c>
      <c r="L359" s="1" t="s">
        <v>16</v>
      </c>
      <c r="M359" s="1" t="str">
        <f>IF(Table1[[#This Row],[Fasting_Blood_Sugar]]="Yes","Diabetic Risk","Normal")</f>
        <v>Diabetic Risk</v>
      </c>
      <c r="N359" s="1" t="s">
        <v>20</v>
      </c>
      <c r="O359" s="1">
        <v>101</v>
      </c>
      <c r="P359" s="1" t="s">
        <v>16</v>
      </c>
      <c r="Q359" s="4" t="s">
        <v>16</v>
      </c>
      <c r="R359" s="1" t="str" cm="1">
        <f t="array" ref="R35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59" s="1">
        <f>IFERROR(Table1[[#This Row],[Cholesterol]]/Table1[[#This Row],[Max_Heart_Rate]],"")</f>
        <v>1.8514851485148516</v>
      </c>
    </row>
    <row r="360" spans="1:19">
      <c r="A360" s="3" t="s">
        <v>380</v>
      </c>
      <c r="B360" s="3" t="str">
        <f>RIGHT(Table1[[#This Row],[Patient_ID]],4)</f>
        <v>1358</v>
      </c>
      <c r="C360" s="1">
        <v>76</v>
      </c>
      <c r="D360" s="1" t="str">
        <f>VLOOKUP(Table1[[#This Row],[Age]],'Lookup &amp; Reference'!$G$2:$H$5,2,1)</f>
        <v>High</v>
      </c>
      <c r="E360" s="1" t="s">
        <v>18</v>
      </c>
      <c r="F360" s="1" t="str">
        <f>_xlfn.CONCAT(LEFT(Table1[[#This Row],[Gender]],1),Table1[[#This Row],[Age]])</f>
        <v>M76</v>
      </c>
      <c r="G360" s="1" t="s">
        <v>25</v>
      </c>
      <c r="H360" s="1">
        <f>LEN(Table1[[#This Row],[Chest_Pain_Type]])</f>
        <v>12</v>
      </c>
      <c r="I360" s="1">
        <v>121</v>
      </c>
      <c r="J360" s="1" t="str" cm="1">
        <f t="array" ref="J36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60" s="1">
        <v>169</v>
      </c>
      <c r="L360" s="1" t="s">
        <v>16</v>
      </c>
      <c r="M360" s="1" t="str">
        <f>IF(Table1[[#This Row],[Fasting_Blood_Sugar]]="Yes","Diabetic Risk","Normal")</f>
        <v>Diabetic Risk</v>
      </c>
      <c r="N360" s="1" t="s">
        <v>20</v>
      </c>
      <c r="O360" s="1">
        <v>208</v>
      </c>
      <c r="P360" s="1" t="s">
        <v>16</v>
      </c>
      <c r="Q360" s="4" t="s">
        <v>14</v>
      </c>
      <c r="R360" s="1" t="str" cm="1">
        <f t="array" ref="R36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60" s="1">
        <f>IFERROR(Table1[[#This Row],[Cholesterol]]/Table1[[#This Row],[Max_Heart_Rate]],"")</f>
        <v>0.8125</v>
      </c>
    </row>
    <row r="361" spans="1:19">
      <c r="A361" s="3" t="s">
        <v>381</v>
      </c>
      <c r="B361" s="3" t="str">
        <f>RIGHT(Table1[[#This Row],[Patient_ID]],4)</f>
        <v>1359</v>
      </c>
      <c r="C361" s="1">
        <v>47</v>
      </c>
      <c r="D361" s="1" t="str">
        <f>VLOOKUP(Table1[[#This Row],[Age]],'Lookup &amp; Reference'!$G$2:$H$5,2,1)</f>
        <v>Medium</v>
      </c>
      <c r="E361" s="1" t="s">
        <v>12</v>
      </c>
      <c r="F361" s="1" t="str">
        <f>_xlfn.CONCAT(LEFT(Table1[[#This Row],[Gender]],1),Table1[[#This Row],[Age]])</f>
        <v>F47</v>
      </c>
      <c r="G361" s="1" t="s">
        <v>19</v>
      </c>
      <c r="H361" s="1">
        <f>LEN(Table1[[#This Row],[Chest_Pain_Type]])</f>
        <v>14</v>
      </c>
      <c r="I361" s="1">
        <v>91</v>
      </c>
      <c r="J361" s="1" t="str" cm="1">
        <f t="array" ref="J36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61" s="1">
        <v>271</v>
      </c>
      <c r="L361" s="1" t="s">
        <v>16</v>
      </c>
      <c r="M361" s="1" t="str">
        <f>IF(Table1[[#This Row],[Fasting_Blood_Sugar]]="Yes","Diabetic Risk","Normal")</f>
        <v>Diabetic Risk</v>
      </c>
      <c r="N361" s="1" t="s">
        <v>15</v>
      </c>
      <c r="O361" s="1">
        <v>120</v>
      </c>
      <c r="P361" s="1" t="s">
        <v>16</v>
      </c>
      <c r="Q361" s="4" t="s">
        <v>16</v>
      </c>
      <c r="R361" s="1" t="str" cm="1">
        <f t="array" ref="R36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61" s="1">
        <f>IFERROR(Table1[[#This Row],[Cholesterol]]/Table1[[#This Row],[Max_Heart_Rate]],"")</f>
        <v>2.2583333333333333</v>
      </c>
    </row>
    <row r="362" spans="1:19">
      <c r="A362" s="3" t="s">
        <v>382</v>
      </c>
      <c r="B362" s="3" t="str">
        <f>RIGHT(Table1[[#This Row],[Patient_ID]],4)</f>
        <v>1360</v>
      </c>
      <c r="C362" s="1">
        <v>32</v>
      </c>
      <c r="D362" s="1" t="str">
        <f>VLOOKUP(Table1[[#This Row],[Age]],'Lookup &amp; Reference'!$G$2:$H$5,2,1)</f>
        <v>Low</v>
      </c>
      <c r="E362" s="1" t="s">
        <v>18</v>
      </c>
      <c r="F362" s="1" t="str">
        <f>_xlfn.CONCAT(LEFT(Table1[[#This Row],[Gender]],1),Table1[[#This Row],[Age]])</f>
        <v>M32</v>
      </c>
      <c r="G362" s="1" t="s">
        <v>13</v>
      </c>
      <c r="H362" s="1">
        <f>LEN(Table1[[#This Row],[Chest_Pain_Type]])</f>
        <v>11</v>
      </c>
      <c r="I362" s="1">
        <v>136</v>
      </c>
      <c r="J362" s="1" t="str" cm="1">
        <f t="array" ref="J36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62" s="1">
        <v>138</v>
      </c>
      <c r="L362" s="1" t="s">
        <v>16</v>
      </c>
      <c r="M362" s="1" t="str">
        <f>IF(Table1[[#This Row],[Fasting_Blood_Sugar]]="Yes","Diabetic Risk","Normal")</f>
        <v>Diabetic Risk</v>
      </c>
      <c r="N362" s="1" t="s">
        <v>27</v>
      </c>
      <c r="O362" s="1">
        <v>167</v>
      </c>
      <c r="P362" s="1" t="s">
        <v>16</v>
      </c>
      <c r="Q362" s="4" t="s">
        <v>14</v>
      </c>
      <c r="R362" s="1" t="str" cm="1">
        <f t="array" ref="R36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62" s="1">
        <f>IFERROR(Table1[[#This Row],[Cholesterol]]/Table1[[#This Row],[Max_Heart_Rate]],"")</f>
        <v>0.82634730538922152</v>
      </c>
    </row>
    <row r="363" spans="1:19">
      <c r="A363" s="3" t="s">
        <v>383</v>
      </c>
      <c r="B363" s="3" t="str">
        <f>RIGHT(Table1[[#This Row],[Patient_ID]],4)</f>
        <v>1361</v>
      </c>
      <c r="C363" s="1">
        <v>63</v>
      </c>
      <c r="D363" s="1" t="str">
        <f>VLOOKUP(Table1[[#This Row],[Age]],'Lookup &amp; Reference'!$G$2:$H$5,2,1)</f>
        <v>High</v>
      </c>
      <c r="E363" s="1" t="s">
        <v>18</v>
      </c>
      <c r="F363" s="1" t="str">
        <f>_xlfn.CONCAT(LEFT(Table1[[#This Row],[Gender]],1),Table1[[#This Row],[Age]])</f>
        <v>M63</v>
      </c>
      <c r="G363" s="1" t="s">
        <v>13</v>
      </c>
      <c r="H363" s="1">
        <f>LEN(Table1[[#This Row],[Chest_Pain_Type]])</f>
        <v>11</v>
      </c>
      <c r="I363" s="1">
        <v>167</v>
      </c>
      <c r="J363" s="1" t="str" cm="1">
        <f t="array" ref="J36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63" s="1">
        <v>219</v>
      </c>
      <c r="L363" s="1" t="s">
        <v>14</v>
      </c>
      <c r="M363" s="1" t="str">
        <f>IF(Table1[[#This Row],[Fasting_Blood_Sugar]]="Yes","Diabetic Risk","Normal")</f>
        <v>Normal</v>
      </c>
      <c r="N363" s="1" t="s">
        <v>15</v>
      </c>
      <c r="O363" s="1">
        <v>123</v>
      </c>
      <c r="P363" s="1" t="s">
        <v>14</v>
      </c>
      <c r="Q363" s="4" t="s">
        <v>16</v>
      </c>
      <c r="R363" s="1" t="str" cm="1">
        <f t="array" ref="R36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63" s="1">
        <f>IFERROR(Table1[[#This Row],[Cholesterol]]/Table1[[#This Row],[Max_Heart_Rate]],"")</f>
        <v>1.7804878048780488</v>
      </c>
    </row>
    <row r="364" spans="1:19">
      <c r="A364" s="3" t="s">
        <v>384</v>
      </c>
      <c r="B364" s="3" t="str">
        <f>RIGHT(Table1[[#This Row],[Patient_ID]],4)</f>
        <v>1362</v>
      </c>
      <c r="C364" s="1">
        <v>77</v>
      </c>
      <c r="D364" s="1" t="str">
        <f>VLOOKUP(Table1[[#This Row],[Age]],'Lookup &amp; Reference'!$G$2:$H$5,2,1)</f>
        <v>High</v>
      </c>
      <c r="E364" s="1" t="s">
        <v>18</v>
      </c>
      <c r="F364" s="1" t="str">
        <f>_xlfn.CONCAT(LEFT(Table1[[#This Row],[Gender]],1),Table1[[#This Row],[Age]])</f>
        <v>M77</v>
      </c>
      <c r="G364" s="1" t="s">
        <v>25</v>
      </c>
      <c r="H364" s="1">
        <f>LEN(Table1[[#This Row],[Chest_Pain_Type]])</f>
        <v>12</v>
      </c>
      <c r="I364" s="1">
        <v>173</v>
      </c>
      <c r="J364" s="1" t="str" cm="1">
        <f t="array" ref="J36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64" s="1">
        <v>179</v>
      </c>
      <c r="L364" s="1" t="s">
        <v>16</v>
      </c>
      <c r="M364" s="1" t="str">
        <f>IF(Table1[[#This Row],[Fasting_Blood_Sugar]]="Yes","Diabetic Risk","Normal")</f>
        <v>Diabetic Risk</v>
      </c>
      <c r="N364" s="1" t="s">
        <v>15</v>
      </c>
      <c r="O364" s="1">
        <v>171</v>
      </c>
      <c r="P364" s="1" t="s">
        <v>14</v>
      </c>
      <c r="Q364" s="4" t="s">
        <v>14</v>
      </c>
      <c r="R364" s="1" t="str" cm="1">
        <f t="array" ref="R36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64" s="1">
        <f>IFERROR(Table1[[#This Row],[Cholesterol]]/Table1[[#This Row],[Max_Heart_Rate]],"")</f>
        <v>1.0467836257309941</v>
      </c>
    </row>
    <row r="365" spans="1:19">
      <c r="A365" s="3" t="s">
        <v>385</v>
      </c>
      <c r="B365" s="3" t="str">
        <f>RIGHT(Table1[[#This Row],[Patient_ID]],4)</f>
        <v>1363</v>
      </c>
      <c r="C365" s="1">
        <v>45</v>
      </c>
      <c r="D365" s="1" t="str">
        <f>VLOOKUP(Table1[[#This Row],[Age]],'Lookup &amp; Reference'!$G$2:$H$5,2,1)</f>
        <v>Medium</v>
      </c>
      <c r="E365" s="1" t="s">
        <v>18</v>
      </c>
      <c r="F365" s="1" t="str">
        <f>_xlfn.CONCAT(LEFT(Table1[[#This Row],[Gender]],1),Table1[[#This Row],[Age]])</f>
        <v>M45</v>
      </c>
      <c r="G365" s="1" t="s">
        <v>25</v>
      </c>
      <c r="H365" s="1">
        <f>LEN(Table1[[#This Row],[Chest_Pain_Type]])</f>
        <v>12</v>
      </c>
      <c r="I365" s="1">
        <v>111</v>
      </c>
      <c r="J365" s="1" t="str" cm="1">
        <f t="array" ref="J36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65" s="1">
        <v>286</v>
      </c>
      <c r="L365" s="1" t="s">
        <v>16</v>
      </c>
      <c r="M365" s="1" t="str">
        <f>IF(Table1[[#This Row],[Fasting_Blood_Sugar]]="Yes","Diabetic Risk","Normal")</f>
        <v>Diabetic Risk</v>
      </c>
      <c r="N365" s="1" t="s">
        <v>15</v>
      </c>
      <c r="O365" s="1">
        <v>209</v>
      </c>
      <c r="P365" s="1" t="s">
        <v>14</v>
      </c>
      <c r="Q365" s="4" t="s">
        <v>16</v>
      </c>
      <c r="R365" s="1" t="str" cm="1">
        <f t="array" ref="R36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65" s="1">
        <f>IFERROR(Table1[[#This Row],[Cholesterol]]/Table1[[#This Row],[Max_Heart_Rate]],"")</f>
        <v>1.368421052631579</v>
      </c>
    </row>
    <row r="366" spans="1:19">
      <c r="A366" s="3" t="s">
        <v>386</v>
      </c>
      <c r="B366" s="3" t="str">
        <f>RIGHT(Table1[[#This Row],[Patient_ID]],4)</f>
        <v>1364</v>
      </c>
      <c r="C366" s="1">
        <v>72</v>
      </c>
      <c r="D366" s="1" t="str">
        <f>VLOOKUP(Table1[[#This Row],[Age]],'Lookup &amp; Reference'!$G$2:$H$5,2,1)</f>
        <v>High</v>
      </c>
      <c r="E366" s="1" t="s">
        <v>12</v>
      </c>
      <c r="F366" s="1" t="str">
        <f>_xlfn.CONCAT(LEFT(Table1[[#This Row],[Gender]],1),Table1[[#This Row],[Age]])</f>
        <v>F72</v>
      </c>
      <c r="G366" s="1" t="s">
        <v>22</v>
      </c>
      <c r="H366" s="1">
        <f>LEN(Table1[[#This Row],[Chest_Pain_Type]])</f>
        <v>15</v>
      </c>
      <c r="I366" s="1">
        <v>164</v>
      </c>
      <c r="J366" s="1" t="str" cm="1">
        <f t="array" ref="J36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66" s="1">
        <v>321</v>
      </c>
      <c r="L366" s="1" t="s">
        <v>14</v>
      </c>
      <c r="M366" s="1" t="str">
        <f>IF(Table1[[#This Row],[Fasting_Blood_Sugar]]="Yes","Diabetic Risk","Normal")</f>
        <v>Normal</v>
      </c>
      <c r="N366" s="1" t="s">
        <v>27</v>
      </c>
      <c r="O366" s="1">
        <v>187</v>
      </c>
      <c r="P366" s="1" t="s">
        <v>16</v>
      </c>
      <c r="Q366" s="4" t="s">
        <v>16</v>
      </c>
      <c r="R366" s="1" t="str" cm="1">
        <f t="array" ref="R36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66" s="1">
        <f>IFERROR(Table1[[#This Row],[Cholesterol]]/Table1[[#This Row],[Max_Heart_Rate]],"")</f>
        <v>1.7165775401069518</v>
      </c>
    </row>
    <row r="367" spans="1:19">
      <c r="A367" s="3" t="s">
        <v>387</v>
      </c>
      <c r="B367" s="3" t="str">
        <f>RIGHT(Table1[[#This Row],[Patient_ID]],4)</f>
        <v>1365</v>
      </c>
      <c r="C367" s="1">
        <v>56</v>
      </c>
      <c r="D367" s="1" t="str">
        <f>VLOOKUP(Table1[[#This Row],[Age]],'Lookup &amp; Reference'!$G$2:$H$5,2,1)</f>
        <v>Medium</v>
      </c>
      <c r="E367" s="1" t="s">
        <v>12</v>
      </c>
      <c r="F367" s="1" t="str">
        <f>_xlfn.CONCAT(LEFT(Table1[[#This Row],[Gender]],1),Table1[[#This Row],[Age]])</f>
        <v>F56</v>
      </c>
      <c r="G367" s="1" t="s">
        <v>13</v>
      </c>
      <c r="H367" s="1">
        <f>LEN(Table1[[#This Row],[Chest_Pain_Type]])</f>
        <v>11</v>
      </c>
      <c r="I367" s="1">
        <v>116</v>
      </c>
      <c r="J367" s="1" t="str" cm="1">
        <f t="array" ref="J36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67" s="1">
        <v>208</v>
      </c>
      <c r="L367" s="1" t="s">
        <v>16</v>
      </c>
      <c r="M367" s="1" t="str">
        <f>IF(Table1[[#This Row],[Fasting_Blood_Sugar]]="Yes","Diabetic Risk","Normal")</f>
        <v>Diabetic Risk</v>
      </c>
      <c r="N367" s="1" t="s">
        <v>15</v>
      </c>
      <c r="O367" s="1">
        <v>164</v>
      </c>
      <c r="P367" s="1" t="s">
        <v>16</v>
      </c>
      <c r="Q367" s="4" t="s">
        <v>14</v>
      </c>
      <c r="R367" s="1" t="str" cm="1">
        <f t="array" ref="R36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67" s="1">
        <f>IFERROR(Table1[[#This Row],[Cholesterol]]/Table1[[#This Row],[Max_Heart_Rate]],"")</f>
        <v>1.2682926829268293</v>
      </c>
    </row>
    <row r="368" spans="1:19">
      <c r="A368" s="3" t="s">
        <v>388</v>
      </c>
      <c r="B368" s="3" t="str">
        <f>RIGHT(Table1[[#This Row],[Patient_ID]],4)</f>
        <v>1366</v>
      </c>
      <c r="C368" s="1">
        <v>58</v>
      </c>
      <c r="D368" s="1" t="str">
        <f>VLOOKUP(Table1[[#This Row],[Age]],'Lookup &amp; Reference'!$G$2:$H$5,2,1)</f>
        <v>Medium</v>
      </c>
      <c r="E368" s="1" t="s">
        <v>12</v>
      </c>
      <c r="F368" s="1" t="str">
        <f>_xlfn.CONCAT(LEFT(Table1[[#This Row],[Gender]],1),Table1[[#This Row],[Age]])</f>
        <v>F58</v>
      </c>
      <c r="G368" s="1" t="s">
        <v>19</v>
      </c>
      <c r="H368" s="1">
        <f>LEN(Table1[[#This Row],[Chest_Pain_Type]])</f>
        <v>14</v>
      </c>
      <c r="I368" s="1">
        <v>156</v>
      </c>
      <c r="J368" s="1" t="str" cm="1">
        <f t="array" ref="J36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68" s="1">
        <v>265</v>
      </c>
      <c r="L368" s="1" t="s">
        <v>16</v>
      </c>
      <c r="M368" s="1" t="str">
        <f>IF(Table1[[#This Row],[Fasting_Blood_Sugar]]="Yes","Diabetic Risk","Normal")</f>
        <v>Diabetic Risk</v>
      </c>
      <c r="N368" s="1" t="s">
        <v>15</v>
      </c>
      <c r="O368" s="1">
        <v>194</v>
      </c>
      <c r="P368" s="1" t="s">
        <v>14</v>
      </c>
      <c r="Q368" s="4" t="s">
        <v>16</v>
      </c>
      <c r="R368" s="1" t="str" cm="1">
        <f t="array" ref="R36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68" s="1">
        <f>IFERROR(Table1[[#This Row],[Cholesterol]]/Table1[[#This Row],[Max_Heart_Rate]],"")</f>
        <v>1.365979381443299</v>
      </c>
    </row>
    <row r="369" spans="1:19">
      <c r="A369" s="3" t="s">
        <v>389</v>
      </c>
      <c r="B369" s="3" t="str">
        <f>RIGHT(Table1[[#This Row],[Patient_ID]],4)</f>
        <v>1367</v>
      </c>
      <c r="C369" s="1">
        <v>57</v>
      </c>
      <c r="D369" s="1" t="str">
        <f>VLOOKUP(Table1[[#This Row],[Age]],'Lookup &amp; Reference'!$G$2:$H$5,2,1)</f>
        <v>Medium</v>
      </c>
      <c r="E369" s="1" t="s">
        <v>18</v>
      </c>
      <c r="F369" s="1" t="str">
        <f>_xlfn.CONCAT(LEFT(Table1[[#This Row],[Gender]],1),Table1[[#This Row],[Age]])</f>
        <v>M57</v>
      </c>
      <c r="G369" s="1" t="s">
        <v>25</v>
      </c>
      <c r="H369" s="1">
        <f>LEN(Table1[[#This Row],[Chest_Pain_Type]])</f>
        <v>12</v>
      </c>
      <c r="I369" s="1">
        <v>170</v>
      </c>
      <c r="J369" s="1" t="str" cm="1">
        <f t="array" ref="J36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69" s="1">
        <v>266</v>
      </c>
      <c r="L369" s="1" t="s">
        <v>16</v>
      </c>
      <c r="M369" s="1" t="str">
        <f>IF(Table1[[#This Row],[Fasting_Blood_Sugar]]="Yes","Diabetic Risk","Normal")</f>
        <v>Diabetic Risk</v>
      </c>
      <c r="N369" s="1" t="s">
        <v>15</v>
      </c>
      <c r="O369" s="1">
        <v>165</v>
      </c>
      <c r="P369" s="1" t="s">
        <v>14</v>
      </c>
      <c r="Q369" s="4" t="s">
        <v>14</v>
      </c>
      <c r="R369" s="1" t="str" cm="1">
        <f t="array" ref="R36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69" s="1">
        <f>IFERROR(Table1[[#This Row],[Cholesterol]]/Table1[[#This Row],[Max_Heart_Rate]],"")</f>
        <v>1.6121212121212121</v>
      </c>
    </row>
    <row r="370" spans="1:19">
      <c r="A370" s="3" t="s">
        <v>390</v>
      </c>
      <c r="B370" s="3" t="str">
        <f>RIGHT(Table1[[#This Row],[Patient_ID]],4)</f>
        <v>1368</v>
      </c>
      <c r="C370" s="1">
        <v>74</v>
      </c>
      <c r="D370" s="1" t="str">
        <f>VLOOKUP(Table1[[#This Row],[Age]],'Lookup &amp; Reference'!$G$2:$H$5,2,1)</f>
        <v>High</v>
      </c>
      <c r="E370" s="1" t="s">
        <v>12</v>
      </c>
      <c r="F370" s="1" t="str">
        <f>_xlfn.CONCAT(LEFT(Table1[[#This Row],[Gender]],1),Table1[[#This Row],[Age]])</f>
        <v>F74</v>
      </c>
      <c r="G370" s="1" t="s">
        <v>19</v>
      </c>
      <c r="H370" s="1">
        <f>LEN(Table1[[#This Row],[Chest_Pain_Type]])</f>
        <v>14</v>
      </c>
      <c r="I370" s="1">
        <v>145</v>
      </c>
      <c r="J370" s="1" t="str" cm="1">
        <f t="array" ref="J37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70" s="1">
        <v>283</v>
      </c>
      <c r="L370" s="1" t="s">
        <v>14</v>
      </c>
      <c r="M370" s="1" t="str">
        <f>IF(Table1[[#This Row],[Fasting_Blood_Sugar]]="Yes","Diabetic Risk","Normal")</f>
        <v>Normal</v>
      </c>
      <c r="N370" s="1" t="s">
        <v>15</v>
      </c>
      <c r="O370" s="1">
        <v>138</v>
      </c>
      <c r="P370" s="1" t="s">
        <v>16</v>
      </c>
      <c r="Q370" s="4" t="s">
        <v>16</v>
      </c>
      <c r="R370" s="1" t="str" cm="1">
        <f t="array" ref="R37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70" s="1">
        <f>IFERROR(Table1[[#This Row],[Cholesterol]]/Table1[[#This Row],[Max_Heart_Rate]],"")</f>
        <v>2.0507246376811592</v>
      </c>
    </row>
    <row r="371" spans="1:19">
      <c r="A371" s="3" t="s">
        <v>391</v>
      </c>
      <c r="B371" s="3" t="str">
        <f>RIGHT(Table1[[#This Row],[Patient_ID]],4)</f>
        <v>1369</v>
      </c>
      <c r="C371" s="1">
        <v>34</v>
      </c>
      <c r="D371" s="1" t="str">
        <f>VLOOKUP(Table1[[#This Row],[Age]],'Lookup &amp; Reference'!$G$2:$H$5,2,1)</f>
        <v>Low</v>
      </c>
      <c r="E371" s="1" t="s">
        <v>18</v>
      </c>
      <c r="F371" s="1" t="str">
        <f>_xlfn.CONCAT(LEFT(Table1[[#This Row],[Gender]],1),Table1[[#This Row],[Age]])</f>
        <v>M34</v>
      </c>
      <c r="G371" s="1" t="s">
        <v>19</v>
      </c>
      <c r="H371" s="1">
        <f>LEN(Table1[[#This Row],[Chest_Pain_Type]])</f>
        <v>14</v>
      </c>
      <c r="I371" s="1">
        <v>181</v>
      </c>
      <c r="J371" s="1" t="str" cm="1">
        <f t="array" ref="J37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71" s="1">
        <v>321</v>
      </c>
      <c r="L371" s="1" t="s">
        <v>16</v>
      </c>
      <c r="M371" s="1" t="str">
        <f>IF(Table1[[#This Row],[Fasting_Blood_Sugar]]="Yes","Diabetic Risk","Normal")</f>
        <v>Diabetic Risk</v>
      </c>
      <c r="N371" s="1" t="s">
        <v>15</v>
      </c>
      <c r="O371" s="1">
        <v>168</v>
      </c>
      <c r="P371" s="1" t="s">
        <v>16</v>
      </c>
      <c r="Q371" s="4" t="s">
        <v>14</v>
      </c>
      <c r="R371" s="1" t="str" cm="1">
        <f t="array" ref="R37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71" s="1">
        <f>IFERROR(Table1[[#This Row],[Cholesterol]]/Table1[[#This Row],[Max_Heart_Rate]],"")</f>
        <v>1.9107142857142858</v>
      </c>
    </row>
    <row r="372" spans="1:19">
      <c r="A372" s="3" t="s">
        <v>392</v>
      </c>
      <c r="B372" s="3" t="str">
        <f>RIGHT(Table1[[#This Row],[Patient_ID]],4)</f>
        <v>1370</v>
      </c>
      <c r="C372" s="1">
        <v>63</v>
      </c>
      <c r="D372" s="1" t="str">
        <f>VLOOKUP(Table1[[#This Row],[Age]],'Lookup &amp; Reference'!$G$2:$H$5,2,1)</f>
        <v>High</v>
      </c>
      <c r="E372" s="1" t="s">
        <v>12</v>
      </c>
      <c r="F372" s="1" t="str">
        <f>_xlfn.CONCAT(LEFT(Table1[[#This Row],[Gender]],1),Table1[[#This Row],[Age]])</f>
        <v>F63</v>
      </c>
      <c r="G372" s="1" t="s">
        <v>13</v>
      </c>
      <c r="H372" s="1">
        <f>LEN(Table1[[#This Row],[Chest_Pain_Type]])</f>
        <v>11</v>
      </c>
      <c r="I372" s="1">
        <v>182</v>
      </c>
      <c r="J372" s="1" t="str" cm="1">
        <f t="array" ref="J37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72" s="1">
        <v>344</v>
      </c>
      <c r="L372" s="1" t="s">
        <v>14</v>
      </c>
      <c r="M372" s="1" t="str">
        <f>IF(Table1[[#This Row],[Fasting_Blood_Sugar]]="Yes","Diabetic Risk","Normal")</f>
        <v>Normal</v>
      </c>
      <c r="N372" s="1" t="s">
        <v>15</v>
      </c>
      <c r="O372" s="1">
        <v>146</v>
      </c>
      <c r="P372" s="1" t="s">
        <v>14</v>
      </c>
      <c r="Q372" s="4" t="s">
        <v>16</v>
      </c>
      <c r="R372" s="1" t="str" cm="1">
        <f t="array" ref="R37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72" s="1">
        <f>IFERROR(Table1[[#This Row],[Cholesterol]]/Table1[[#This Row],[Max_Heart_Rate]],"")</f>
        <v>2.3561643835616439</v>
      </c>
    </row>
    <row r="373" spans="1:19">
      <c r="A373" s="3" t="s">
        <v>393</v>
      </c>
      <c r="B373" s="3" t="str">
        <f>RIGHT(Table1[[#This Row],[Patient_ID]],4)</f>
        <v>1371</v>
      </c>
      <c r="C373" s="1">
        <v>69</v>
      </c>
      <c r="D373" s="1" t="str">
        <f>VLOOKUP(Table1[[#This Row],[Age]],'Lookup &amp; Reference'!$G$2:$H$5,2,1)</f>
        <v>High</v>
      </c>
      <c r="E373" s="1" t="s">
        <v>12</v>
      </c>
      <c r="F373" s="1" t="str">
        <f>_xlfn.CONCAT(LEFT(Table1[[#This Row],[Gender]],1),Table1[[#This Row],[Age]])</f>
        <v>F69</v>
      </c>
      <c r="G373" s="1" t="s">
        <v>13</v>
      </c>
      <c r="H373" s="1">
        <f>LEN(Table1[[#This Row],[Chest_Pain_Type]])</f>
        <v>11</v>
      </c>
      <c r="I373" s="1">
        <v>110</v>
      </c>
      <c r="J373" s="1" t="str" cm="1">
        <f t="array" ref="J37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73" s="1">
        <v>302</v>
      </c>
      <c r="L373" s="1" t="s">
        <v>16</v>
      </c>
      <c r="M373" s="1" t="str">
        <f>IF(Table1[[#This Row],[Fasting_Blood_Sugar]]="Yes","Diabetic Risk","Normal")</f>
        <v>Diabetic Risk</v>
      </c>
      <c r="N373" s="1" t="s">
        <v>27</v>
      </c>
      <c r="O373" s="1">
        <v>184</v>
      </c>
      <c r="P373" s="1" t="s">
        <v>16</v>
      </c>
      <c r="Q373" s="4" t="s">
        <v>16</v>
      </c>
      <c r="R373" s="1" t="str" cm="1">
        <f t="array" ref="R37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73" s="1">
        <f>IFERROR(Table1[[#This Row],[Cholesterol]]/Table1[[#This Row],[Max_Heart_Rate]],"")</f>
        <v>1.6413043478260869</v>
      </c>
    </row>
    <row r="374" spans="1:19">
      <c r="A374" s="3" t="s">
        <v>394</v>
      </c>
      <c r="B374" s="3" t="str">
        <f>RIGHT(Table1[[#This Row],[Patient_ID]],4)</f>
        <v>1372</v>
      </c>
      <c r="C374" s="1">
        <v>65</v>
      </c>
      <c r="D374" s="1" t="str">
        <f>VLOOKUP(Table1[[#This Row],[Age]],'Lookup &amp; Reference'!$G$2:$H$5,2,1)</f>
        <v>High</v>
      </c>
      <c r="E374" s="1" t="s">
        <v>12</v>
      </c>
      <c r="F374" s="1" t="str">
        <f>_xlfn.CONCAT(LEFT(Table1[[#This Row],[Gender]],1),Table1[[#This Row],[Age]])</f>
        <v>F65</v>
      </c>
      <c r="G374" s="1" t="s">
        <v>25</v>
      </c>
      <c r="H374" s="1">
        <f>LEN(Table1[[#This Row],[Chest_Pain_Type]])</f>
        <v>12</v>
      </c>
      <c r="I374" s="1">
        <v>136</v>
      </c>
      <c r="J374" s="1" t="str" cm="1">
        <f t="array" ref="J37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74" s="1">
        <v>188</v>
      </c>
      <c r="L374" s="1" t="s">
        <v>16</v>
      </c>
      <c r="M374" s="1" t="str">
        <f>IF(Table1[[#This Row],[Fasting_Blood_Sugar]]="Yes","Diabetic Risk","Normal")</f>
        <v>Diabetic Risk</v>
      </c>
      <c r="N374" s="1" t="s">
        <v>15</v>
      </c>
      <c r="O374" s="1">
        <v>202</v>
      </c>
      <c r="P374" s="1" t="s">
        <v>16</v>
      </c>
      <c r="Q374" s="4" t="s">
        <v>14</v>
      </c>
      <c r="R374" s="1" t="str" cm="1">
        <f t="array" ref="R37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74" s="1">
        <f>IFERROR(Table1[[#This Row],[Cholesterol]]/Table1[[#This Row],[Max_Heart_Rate]],"")</f>
        <v>0.93069306930693074</v>
      </c>
    </row>
    <row r="375" spans="1:19">
      <c r="A375" s="3" t="s">
        <v>395</v>
      </c>
      <c r="B375" s="3" t="str">
        <f>RIGHT(Table1[[#This Row],[Patient_ID]],4)</f>
        <v>1373</v>
      </c>
      <c r="C375" s="1">
        <v>52</v>
      </c>
      <c r="D375" s="1" t="str">
        <f>VLOOKUP(Table1[[#This Row],[Age]],'Lookup &amp; Reference'!$G$2:$H$5,2,1)</f>
        <v>Medium</v>
      </c>
      <c r="E375" s="1" t="s">
        <v>18</v>
      </c>
      <c r="F375" s="1" t="str">
        <f>_xlfn.CONCAT(LEFT(Table1[[#This Row],[Gender]],1),Table1[[#This Row],[Age]])</f>
        <v>M52</v>
      </c>
      <c r="G375" s="1" t="s">
        <v>13</v>
      </c>
      <c r="H375" s="1">
        <f>LEN(Table1[[#This Row],[Chest_Pain_Type]])</f>
        <v>11</v>
      </c>
      <c r="I375" s="1">
        <v>169</v>
      </c>
      <c r="J375" s="1" t="str" cm="1">
        <f t="array" ref="J37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75" s="1">
        <v>294</v>
      </c>
      <c r="L375" s="1" t="s">
        <v>14</v>
      </c>
      <c r="M375" s="1" t="str">
        <f>IF(Table1[[#This Row],[Fasting_Blood_Sugar]]="Yes","Diabetic Risk","Normal")</f>
        <v>Normal</v>
      </c>
      <c r="N375" s="1" t="s">
        <v>20</v>
      </c>
      <c r="O375" s="1">
        <v>182</v>
      </c>
      <c r="P375" s="1" t="s">
        <v>14</v>
      </c>
      <c r="Q375" s="4" t="s">
        <v>16</v>
      </c>
      <c r="R375" s="1" t="str" cm="1">
        <f t="array" ref="R37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75" s="1">
        <f>IFERROR(Table1[[#This Row],[Cholesterol]]/Table1[[#This Row],[Max_Heart_Rate]],"")</f>
        <v>1.6153846153846154</v>
      </c>
    </row>
    <row r="376" spans="1:19">
      <c r="A376" s="3" t="s">
        <v>396</v>
      </c>
      <c r="B376" s="3" t="str">
        <f>RIGHT(Table1[[#This Row],[Patient_ID]],4)</f>
        <v>1374</v>
      </c>
      <c r="C376" s="1">
        <v>57</v>
      </c>
      <c r="D376" s="1" t="str">
        <f>VLOOKUP(Table1[[#This Row],[Age]],'Lookup &amp; Reference'!$G$2:$H$5,2,1)</f>
        <v>Medium</v>
      </c>
      <c r="E376" s="1" t="s">
        <v>12</v>
      </c>
      <c r="F376" s="1" t="str">
        <f>_xlfn.CONCAT(LEFT(Table1[[#This Row],[Gender]],1),Table1[[#This Row],[Age]])</f>
        <v>F57</v>
      </c>
      <c r="G376" s="1" t="s">
        <v>13</v>
      </c>
      <c r="H376" s="1">
        <f>LEN(Table1[[#This Row],[Chest_Pain_Type]])</f>
        <v>11</v>
      </c>
      <c r="I376" s="1">
        <v>148</v>
      </c>
      <c r="J376" s="1" t="str" cm="1">
        <f t="array" ref="J37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76" s="1">
        <v>168</v>
      </c>
      <c r="L376" s="1" t="s">
        <v>16</v>
      </c>
      <c r="M376" s="1" t="str">
        <f>IF(Table1[[#This Row],[Fasting_Blood_Sugar]]="Yes","Diabetic Risk","Normal")</f>
        <v>Diabetic Risk</v>
      </c>
      <c r="N376" s="1" t="s">
        <v>15</v>
      </c>
      <c r="O376" s="1">
        <v>115</v>
      </c>
      <c r="P376" s="1" t="s">
        <v>16</v>
      </c>
      <c r="Q376" s="4" t="s">
        <v>16</v>
      </c>
      <c r="R376" s="1" t="str" cm="1">
        <f t="array" ref="R37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76" s="1">
        <f>IFERROR(Table1[[#This Row],[Cholesterol]]/Table1[[#This Row],[Max_Heart_Rate]],"")</f>
        <v>1.4608695652173913</v>
      </c>
    </row>
    <row r="377" spans="1:19">
      <c r="A377" s="3" t="s">
        <v>397</v>
      </c>
      <c r="B377" s="3" t="str">
        <f>RIGHT(Table1[[#This Row],[Patient_ID]],4)</f>
        <v>1375</v>
      </c>
      <c r="C377" s="1">
        <v>77</v>
      </c>
      <c r="D377" s="1" t="str">
        <f>VLOOKUP(Table1[[#This Row],[Age]],'Lookup &amp; Reference'!$G$2:$H$5,2,1)</f>
        <v>High</v>
      </c>
      <c r="E377" s="1" t="s">
        <v>12</v>
      </c>
      <c r="F377" s="1" t="str">
        <f>_xlfn.CONCAT(LEFT(Table1[[#This Row],[Gender]],1),Table1[[#This Row],[Age]])</f>
        <v>F77</v>
      </c>
      <c r="G377" s="1" t="s">
        <v>13</v>
      </c>
      <c r="H377" s="1">
        <f>LEN(Table1[[#This Row],[Chest_Pain_Type]])</f>
        <v>11</v>
      </c>
      <c r="I377" s="1">
        <v>173</v>
      </c>
      <c r="J377" s="1" t="str" cm="1">
        <f t="array" ref="J37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77" s="1">
        <v>346</v>
      </c>
      <c r="L377" s="1" t="s">
        <v>16</v>
      </c>
      <c r="M377" s="1" t="str">
        <f>IF(Table1[[#This Row],[Fasting_Blood_Sugar]]="Yes","Diabetic Risk","Normal")</f>
        <v>Diabetic Risk</v>
      </c>
      <c r="N377" s="1" t="s">
        <v>15</v>
      </c>
      <c r="O377" s="1">
        <v>107</v>
      </c>
      <c r="P377" s="1" t="s">
        <v>14</v>
      </c>
      <c r="Q377" s="4" t="s">
        <v>16</v>
      </c>
      <c r="R377" s="1" t="str" cm="1">
        <f t="array" ref="R37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77" s="1">
        <f>IFERROR(Table1[[#This Row],[Cholesterol]]/Table1[[#This Row],[Max_Heart_Rate]],"")</f>
        <v>3.2336448598130842</v>
      </c>
    </row>
    <row r="378" spans="1:19">
      <c r="A378" s="3" t="s">
        <v>398</v>
      </c>
      <c r="B378" s="3" t="str">
        <f>RIGHT(Table1[[#This Row],[Patient_ID]],4)</f>
        <v>1376</v>
      </c>
      <c r="C378" s="1">
        <v>74</v>
      </c>
      <c r="D378" s="1" t="str">
        <f>VLOOKUP(Table1[[#This Row],[Age]],'Lookup &amp; Reference'!$G$2:$H$5,2,1)</f>
        <v>High</v>
      </c>
      <c r="E378" s="1" t="s">
        <v>18</v>
      </c>
      <c r="F378" s="1" t="str">
        <f>_xlfn.CONCAT(LEFT(Table1[[#This Row],[Gender]],1),Table1[[#This Row],[Age]])</f>
        <v>M74</v>
      </c>
      <c r="G378" s="1" t="s">
        <v>19</v>
      </c>
      <c r="H378" s="1">
        <f>LEN(Table1[[#This Row],[Chest_Pain_Type]])</f>
        <v>14</v>
      </c>
      <c r="I378" s="1">
        <v>95</v>
      </c>
      <c r="J378" s="1" t="str" cm="1">
        <f t="array" ref="J37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78" s="1">
        <v>227</v>
      </c>
      <c r="L378" s="1" t="s">
        <v>14</v>
      </c>
      <c r="M378" s="1" t="str">
        <f>IF(Table1[[#This Row],[Fasting_Blood_Sugar]]="Yes","Diabetic Risk","Normal")</f>
        <v>Normal</v>
      </c>
      <c r="N378" s="1" t="s">
        <v>27</v>
      </c>
      <c r="O378" s="1">
        <v>185</v>
      </c>
      <c r="P378" s="1" t="s">
        <v>16</v>
      </c>
      <c r="Q378" s="4" t="s">
        <v>16</v>
      </c>
      <c r="R378" s="1" t="str" cm="1">
        <f t="array" ref="R37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78" s="1">
        <f>IFERROR(Table1[[#This Row],[Cholesterol]]/Table1[[#This Row],[Max_Heart_Rate]],"")</f>
        <v>1.2270270270270269</v>
      </c>
    </row>
    <row r="379" spans="1:19">
      <c r="A379" s="3" t="s">
        <v>399</v>
      </c>
      <c r="B379" s="3" t="str">
        <f>RIGHT(Table1[[#This Row],[Patient_ID]],4)</f>
        <v>1377</v>
      </c>
      <c r="C379" s="1">
        <v>59</v>
      </c>
      <c r="D379" s="1" t="str">
        <f>VLOOKUP(Table1[[#This Row],[Age]],'Lookup &amp; Reference'!$G$2:$H$5,2,1)</f>
        <v>Medium</v>
      </c>
      <c r="E379" s="1" t="s">
        <v>12</v>
      </c>
      <c r="F379" s="1" t="str">
        <f>_xlfn.CONCAT(LEFT(Table1[[#This Row],[Gender]],1),Table1[[#This Row],[Age]])</f>
        <v>F59</v>
      </c>
      <c r="G379" s="1" t="s">
        <v>25</v>
      </c>
      <c r="H379" s="1">
        <f>LEN(Table1[[#This Row],[Chest_Pain_Type]])</f>
        <v>12</v>
      </c>
      <c r="I379" s="1">
        <v>108</v>
      </c>
      <c r="J379" s="1" t="str" cm="1">
        <f t="array" ref="J37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79" s="1">
        <v>345</v>
      </c>
      <c r="L379" s="1" t="s">
        <v>14</v>
      </c>
      <c r="M379" s="1" t="str">
        <f>IF(Table1[[#This Row],[Fasting_Blood_Sugar]]="Yes","Diabetic Risk","Normal")</f>
        <v>Normal</v>
      </c>
      <c r="N379" s="1" t="s">
        <v>27</v>
      </c>
      <c r="O379" s="1">
        <v>175</v>
      </c>
      <c r="P379" s="1" t="s">
        <v>14</v>
      </c>
      <c r="Q379" s="4" t="s">
        <v>16</v>
      </c>
      <c r="R379" s="1" t="str" cm="1">
        <f t="array" ref="R37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79" s="1">
        <f>IFERROR(Table1[[#This Row],[Cholesterol]]/Table1[[#This Row],[Max_Heart_Rate]],"")</f>
        <v>1.9714285714285715</v>
      </c>
    </row>
    <row r="380" spans="1:19">
      <c r="A380" s="3" t="s">
        <v>400</v>
      </c>
      <c r="B380" s="3" t="str">
        <f>RIGHT(Table1[[#This Row],[Patient_ID]],4)</f>
        <v>1378</v>
      </c>
      <c r="C380" s="1">
        <v>63</v>
      </c>
      <c r="D380" s="1" t="str">
        <f>VLOOKUP(Table1[[#This Row],[Age]],'Lookup &amp; Reference'!$G$2:$H$5,2,1)</f>
        <v>High</v>
      </c>
      <c r="E380" s="1" t="s">
        <v>18</v>
      </c>
      <c r="F380" s="1" t="str">
        <f>_xlfn.CONCAT(LEFT(Table1[[#This Row],[Gender]],1),Table1[[#This Row],[Age]])</f>
        <v>M63</v>
      </c>
      <c r="G380" s="1" t="s">
        <v>22</v>
      </c>
      <c r="H380" s="1">
        <f>LEN(Table1[[#This Row],[Chest_Pain_Type]])</f>
        <v>15</v>
      </c>
      <c r="I380" s="1">
        <v>146</v>
      </c>
      <c r="J380" s="1" t="str" cm="1">
        <f t="array" ref="J38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80" s="1">
        <v>280</v>
      </c>
      <c r="L380" s="1" t="s">
        <v>14</v>
      </c>
      <c r="M380" s="1" t="str">
        <f>IF(Table1[[#This Row],[Fasting_Blood_Sugar]]="Yes","Diabetic Risk","Normal")</f>
        <v>Normal</v>
      </c>
      <c r="N380" s="1" t="s">
        <v>20</v>
      </c>
      <c r="O380" s="1">
        <v>127</v>
      </c>
      <c r="P380" s="1" t="s">
        <v>16</v>
      </c>
      <c r="Q380" s="4" t="s">
        <v>16</v>
      </c>
      <c r="R380" s="1" t="str" cm="1">
        <f t="array" ref="R38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80" s="1">
        <f>IFERROR(Table1[[#This Row],[Cholesterol]]/Table1[[#This Row],[Max_Heart_Rate]],"")</f>
        <v>2.204724409448819</v>
      </c>
    </row>
    <row r="381" spans="1:19">
      <c r="A381" s="3" t="s">
        <v>401</v>
      </c>
      <c r="B381" s="3" t="str">
        <f>RIGHT(Table1[[#This Row],[Patient_ID]],4)</f>
        <v>1379</v>
      </c>
      <c r="C381" s="1">
        <v>61</v>
      </c>
      <c r="D381" s="1" t="str">
        <f>VLOOKUP(Table1[[#This Row],[Age]],'Lookup &amp; Reference'!$G$2:$H$5,2,1)</f>
        <v>High</v>
      </c>
      <c r="E381" s="1" t="s">
        <v>12</v>
      </c>
      <c r="F381" s="1" t="str">
        <f>_xlfn.CONCAT(LEFT(Table1[[#This Row],[Gender]],1),Table1[[#This Row],[Age]])</f>
        <v>F61</v>
      </c>
      <c r="G381" s="1" t="s">
        <v>19</v>
      </c>
      <c r="H381" s="1">
        <f>LEN(Table1[[#This Row],[Chest_Pain_Type]])</f>
        <v>14</v>
      </c>
      <c r="I381" s="1">
        <v>158</v>
      </c>
      <c r="J381" s="1" t="str" cm="1">
        <f t="array" ref="J38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81" s="1">
        <v>238</v>
      </c>
      <c r="L381" s="1" t="s">
        <v>14</v>
      </c>
      <c r="M381" s="1" t="str">
        <f>IF(Table1[[#This Row],[Fasting_Blood_Sugar]]="Yes","Diabetic Risk","Normal")</f>
        <v>Normal</v>
      </c>
      <c r="N381" s="1" t="s">
        <v>20</v>
      </c>
      <c r="O381" s="1">
        <v>170</v>
      </c>
      <c r="P381" s="1" t="s">
        <v>14</v>
      </c>
      <c r="Q381" s="4" t="s">
        <v>14</v>
      </c>
      <c r="R381" s="1" t="str" cm="1">
        <f t="array" ref="R38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81" s="1">
        <f>IFERROR(Table1[[#This Row],[Cholesterol]]/Table1[[#This Row],[Max_Heart_Rate]],"")</f>
        <v>1.4</v>
      </c>
    </row>
    <row r="382" spans="1:19">
      <c r="A382" s="3" t="s">
        <v>402</v>
      </c>
      <c r="B382" s="3" t="str">
        <f>RIGHT(Table1[[#This Row],[Patient_ID]],4)</f>
        <v>1380</v>
      </c>
      <c r="C382" s="1">
        <v>49</v>
      </c>
      <c r="D382" s="1" t="str">
        <f>VLOOKUP(Table1[[#This Row],[Age]],'Lookup &amp; Reference'!$G$2:$H$5,2,1)</f>
        <v>Medium</v>
      </c>
      <c r="E382" s="1" t="s">
        <v>18</v>
      </c>
      <c r="F382" s="1" t="str">
        <f>_xlfn.CONCAT(LEFT(Table1[[#This Row],[Gender]],1),Table1[[#This Row],[Age]])</f>
        <v>M49</v>
      </c>
      <c r="G382" s="1" t="s">
        <v>13</v>
      </c>
      <c r="H382" s="1">
        <f>LEN(Table1[[#This Row],[Chest_Pain_Type]])</f>
        <v>11</v>
      </c>
      <c r="I382" s="1">
        <v>92</v>
      </c>
      <c r="J382" s="1" t="str" cm="1">
        <f t="array" ref="J38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82" s="1">
        <v>268</v>
      </c>
      <c r="L382" s="1" t="s">
        <v>14</v>
      </c>
      <c r="M382" s="1" t="str">
        <f>IF(Table1[[#This Row],[Fasting_Blood_Sugar]]="Yes","Diabetic Risk","Normal")</f>
        <v>Normal</v>
      </c>
      <c r="N382" s="1" t="s">
        <v>27</v>
      </c>
      <c r="O382" s="1">
        <v>176</v>
      </c>
      <c r="P382" s="1" t="s">
        <v>14</v>
      </c>
      <c r="Q382" s="4" t="s">
        <v>14</v>
      </c>
      <c r="R382" s="1" t="str" cm="1">
        <f t="array" ref="R38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82" s="1">
        <f>IFERROR(Table1[[#This Row],[Cholesterol]]/Table1[[#This Row],[Max_Heart_Rate]],"")</f>
        <v>1.5227272727272727</v>
      </c>
    </row>
    <row r="383" spans="1:19">
      <c r="A383" s="3" t="s">
        <v>403</v>
      </c>
      <c r="B383" s="3" t="str">
        <f>RIGHT(Table1[[#This Row],[Patient_ID]],4)</f>
        <v>1381</v>
      </c>
      <c r="C383" s="1">
        <v>60</v>
      </c>
      <c r="D383" s="1" t="str">
        <f>VLOOKUP(Table1[[#This Row],[Age]],'Lookup &amp; Reference'!$G$2:$H$5,2,1)</f>
        <v>High</v>
      </c>
      <c r="E383" s="1" t="s">
        <v>18</v>
      </c>
      <c r="F383" s="1" t="str">
        <f>_xlfn.CONCAT(LEFT(Table1[[#This Row],[Gender]],1),Table1[[#This Row],[Age]])</f>
        <v>M60</v>
      </c>
      <c r="G383" s="1" t="s">
        <v>19</v>
      </c>
      <c r="H383" s="1">
        <f>LEN(Table1[[#This Row],[Chest_Pain_Type]])</f>
        <v>14</v>
      </c>
      <c r="I383" s="1">
        <v>90</v>
      </c>
      <c r="J383" s="1" t="str" cm="1">
        <f t="array" ref="J38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83" s="1">
        <v>328</v>
      </c>
      <c r="L383" s="1" t="s">
        <v>16</v>
      </c>
      <c r="M383" s="1" t="str">
        <f>IF(Table1[[#This Row],[Fasting_Blood_Sugar]]="Yes","Diabetic Risk","Normal")</f>
        <v>Diabetic Risk</v>
      </c>
      <c r="N383" s="1" t="s">
        <v>27</v>
      </c>
      <c r="O383" s="1">
        <v>177</v>
      </c>
      <c r="P383" s="1" t="s">
        <v>14</v>
      </c>
      <c r="Q383" s="4" t="s">
        <v>14</v>
      </c>
      <c r="R383" s="1" t="str" cm="1">
        <f t="array" ref="R38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83" s="1">
        <f>IFERROR(Table1[[#This Row],[Cholesterol]]/Table1[[#This Row],[Max_Heart_Rate]],"")</f>
        <v>1.8531073446327684</v>
      </c>
    </row>
    <row r="384" spans="1:19">
      <c r="A384" s="3" t="s">
        <v>404</v>
      </c>
      <c r="B384" s="3" t="str">
        <f>RIGHT(Table1[[#This Row],[Patient_ID]],4)</f>
        <v>1382</v>
      </c>
      <c r="C384" s="1">
        <v>51</v>
      </c>
      <c r="D384" s="1" t="str">
        <f>VLOOKUP(Table1[[#This Row],[Age]],'Lookup &amp; Reference'!$G$2:$H$5,2,1)</f>
        <v>Medium</v>
      </c>
      <c r="E384" s="1" t="s">
        <v>12</v>
      </c>
      <c r="F384" s="1" t="str">
        <f>_xlfn.CONCAT(LEFT(Table1[[#This Row],[Gender]],1),Table1[[#This Row],[Age]])</f>
        <v>F51</v>
      </c>
      <c r="G384" s="1" t="s">
        <v>13</v>
      </c>
      <c r="H384" s="1">
        <f>LEN(Table1[[#This Row],[Chest_Pain_Type]])</f>
        <v>11</v>
      </c>
      <c r="I384" s="1">
        <v>147</v>
      </c>
      <c r="J384" s="1" t="str" cm="1">
        <f t="array" ref="J38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84" s="1">
        <v>269</v>
      </c>
      <c r="L384" s="1" t="s">
        <v>14</v>
      </c>
      <c r="M384" s="1" t="str">
        <f>IF(Table1[[#This Row],[Fasting_Blood_Sugar]]="Yes","Diabetic Risk","Normal")</f>
        <v>Normal</v>
      </c>
      <c r="N384" s="1" t="s">
        <v>15</v>
      </c>
      <c r="O384" s="1">
        <v>139</v>
      </c>
      <c r="P384" s="1" t="s">
        <v>14</v>
      </c>
      <c r="Q384" s="4" t="s">
        <v>16</v>
      </c>
      <c r="R384" s="1" t="str" cm="1">
        <f t="array" ref="R38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84" s="1">
        <f>IFERROR(Table1[[#This Row],[Cholesterol]]/Table1[[#This Row],[Max_Heart_Rate]],"")</f>
        <v>1.935251798561151</v>
      </c>
    </row>
    <row r="385" spans="1:19">
      <c r="A385" s="3" t="s">
        <v>405</v>
      </c>
      <c r="B385" s="3" t="str">
        <f>RIGHT(Table1[[#This Row],[Patient_ID]],4)</f>
        <v>1383</v>
      </c>
      <c r="C385" s="1">
        <v>61</v>
      </c>
      <c r="D385" s="1" t="str">
        <f>VLOOKUP(Table1[[#This Row],[Age]],'Lookup &amp; Reference'!$G$2:$H$5,2,1)</f>
        <v>High</v>
      </c>
      <c r="E385" s="1" t="s">
        <v>18</v>
      </c>
      <c r="F385" s="1" t="str">
        <f>_xlfn.CONCAT(LEFT(Table1[[#This Row],[Gender]],1),Table1[[#This Row],[Age]])</f>
        <v>M61</v>
      </c>
      <c r="G385" s="1" t="s">
        <v>13</v>
      </c>
      <c r="H385" s="1">
        <f>LEN(Table1[[#This Row],[Chest_Pain_Type]])</f>
        <v>11</v>
      </c>
      <c r="I385" s="1">
        <v>127</v>
      </c>
      <c r="J385" s="1" t="str" cm="1">
        <f t="array" ref="J38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85" s="1">
        <v>295</v>
      </c>
      <c r="L385" s="1" t="s">
        <v>16</v>
      </c>
      <c r="M385" s="1" t="str">
        <f>IF(Table1[[#This Row],[Fasting_Blood_Sugar]]="Yes","Diabetic Risk","Normal")</f>
        <v>Diabetic Risk</v>
      </c>
      <c r="N385" s="1" t="s">
        <v>27</v>
      </c>
      <c r="O385" s="1">
        <v>97</v>
      </c>
      <c r="P385" s="1" t="s">
        <v>16</v>
      </c>
      <c r="Q385" s="4" t="s">
        <v>14</v>
      </c>
      <c r="R385" s="1" t="str" cm="1">
        <f t="array" ref="R38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85" s="1">
        <f>IFERROR(Table1[[#This Row],[Cholesterol]]/Table1[[#This Row],[Max_Heart_Rate]],"")</f>
        <v>3.0412371134020617</v>
      </c>
    </row>
    <row r="386" spans="1:19">
      <c r="A386" s="3" t="s">
        <v>406</v>
      </c>
      <c r="B386" s="3" t="str">
        <f>RIGHT(Table1[[#This Row],[Patient_ID]],4)</f>
        <v>1384</v>
      </c>
      <c r="C386" s="1">
        <v>31</v>
      </c>
      <c r="D386" s="1" t="str">
        <f>VLOOKUP(Table1[[#This Row],[Age]],'Lookup &amp; Reference'!$G$2:$H$5,2,1)</f>
        <v>Low</v>
      </c>
      <c r="E386" s="1" t="s">
        <v>18</v>
      </c>
      <c r="F386" s="1" t="str">
        <f>_xlfn.CONCAT(LEFT(Table1[[#This Row],[Gender]],1),Table1[[#This Row],[Age]])</f>
        <v>M31</v>
      </c>
      <c r="G386" s="1" t="s">
        <v>19</v>
      </c>
      <c r="H386" s="1">
        <f>LEN(Table1[[#This Row],[Chest_Pain_Type]])</f>
        <v>14</v>
      </c>
      <c r="I386" s="1">
        <v>104</v>
      </c>
      <c r="J386" s="1" t="str" cm="1">
        <f t="array" ref="J38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86" s="1">
        <v>156</v>
      </c>
      <c r="L386" s="1" t="s">
        <v>16</v>
      </c>
      <c r="M386" s="1" t="str">
        <f>IF(Table1[[#This Row],[Fasting_Blood_Sugar]]="Yes","Diabetic Risk","Normal")</f>
        <v>Diabetic Risk</v>
      </c>
      <c r="N386" s="1" t="s">
        <v>20</v>
      </c>
      <c r="O386" s="1">
        <v>130</v>
      </c>
      <c r="P386" s="1" t="s">
        <v>16</v>
      </c>
      <c r="Q386" s="4" t="s">
        <v>16</v>
      </c>
      <c r="R386" s="1" t="str" cm="1">
        <f t="array" ref="R38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86" s="1">
        <f>IFERROR(Table1[[#This Row],[Cholesterol]]/Table1[[#This Row],[Max_Heart_Rate]],"")</f>
        <v>1.2</v>
      </c>
    </row>
    <row r="387" spans="1:19">
      <c r="A387" s="3" t="s">
        <v>407</v>
      </c>
      <c r="B387" s="3" t="str">
        <f>RIGHT(Table1[[#This Row],[Patient_ID]],4)</f>
        <v>1385</v>
      </c>
      <c r="C387" s="1">
        <v>46</v>
      </c>
      <c r="D387" s="1" t="str">
        <f>VLOOKUP(Table1[[#This Row],[Age]],'Lookup &amp; Reference'!$G$2:$H$5,2,1)</f>
        <v>Medium</v>
      </c>
      <c r="E387" s="1" t="s">
        <v>18</v>
      </c>
      <c r="F387" s="1" t="str">
        <f>_xlfn.CONCAT(LEFT(Table1[[#This Row],[Gender]],1),Table1[[#This Row],[Age]])</f>
        <v>M46</v>
      </c>
      <c r="G387" s="1" t="s">
        <v>25</v>
      </c>
      <c r="H387" s="1">
        <f>LEN(Table1[[#This Row],[Chest_Pain_Type]])</f>
        <v>12</v>
      </c>
      <c r="I387" s="1">
        <v>123</v>
      </c>
      <c r="J387" s="1" t="str" cm="1">
        <f t="array" ref="J387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87" s="1">
        <v>262</v>
      </c>
      <c r="L387" s="1" t="s">
        <v>16</v>
      </c>
      <c r="M387" s="1" t="str">
        <f>IF(Table1[[#This Row],[Fasting_Blood_Sugar]]="Yes","Diabetic Risk","Normal")</f>
        <v>Diabetic Risk</v>
      </c>
      <c r="N387" s="1" t="s">
        <v>15</v>
      </c>
      <c r="O387" s="1">
        <v>95</v>
      </c>
      <c r="P387" s="1" t="s">
        <v>14</v>
      </c>
      <c r="Q387" s="4" t="s">
        <v>16</v>
      </c>
      <c r="R387" s="1" t="str" cm="1">
        <f t="array" ref="R38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87" s="1">
        <f>IFERROR(Table1[[#This Row],[Cholesterol]]/Table1[[#This Row],[Max_Heart_Rate]],"")</f>
        <v>2.7578947368421054</v>
      </c>
    </row>
    <row r="388" spans="1:19">
      <c r="A388" s="3" t="s">
        <v>408</v>
      </c>
      <c r="B388" s="3" t="str">
        <f>RIGHT(Table1[[#This Row],[Patient_ID]],4)</f>
        <v>1386</v>
      </c>
      <c r="C388" s="1">
        <v>53</v>
      </c>
      <c r="D388" s="1" t="str">
        <f>VLOOKUP(Table1[[#This Row],[Age]],'Lookup &amp; Reference'!$G$2:$H$5,2,1)</f>
        <v>Medium</v>
      </c>
      <c r="E388" s="1" t="s">
        <v>18</v>
      </c>
      <c r="F388" s="1" t="str">
        <f>_xlfn.CONCAT(LEFT(Table1[[#This Row],[Gender]],1),Table1[[#This Row],[Age]])</f>
        <v>M53</v>
      </c>
      <c r="G388" s="1" t="s">
        <v>13</v>
      </c>
      <c r="H388" s="1">
        <f>LEN(Table1[[#This Row],[Chest_Pain_Type]])</f>
        <v>11</v>
      </c>
      <c r="I388" s="1">
        <v>150</v>
      </c>
      <c r="J388" s="1" t="str" cm="1">
        <f t="array" ref="J38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88" s="1">
        <v>282</v>
      </c>
      <c r="L388" s="1" t="s">
        <v>14</v>
      </c>
      <c r="M388" s="1" t="str">
        <f>IF(Table1[[#This Row],[Fasting_Blood_Sugar]]="Yes","Diabetic Risk","Normal")</f>
        <v>Normal</v>
      </c>
      <c r="N388" s="1" t="s">
        <v>20</v>
      </c>
      <c r="O388" s="1">
        <v>158</v>
      </c>
      <c r="P388" s="1" t="s">
        <v>16</v>
      </c>
      <c r="Q388" s="4" t="s">
        <v>16</v>
      </c>
      <c r="R388" s="1" t="str" cm="1">
        <f t="array" ref="R38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388" s="1">
        <f>IFERROR(Table1[[#This Row],[Cholesterol]]/Table1[[#This Row],[Max_Heart_Rate]],"")</f>
        <v>1.7848101265822784</v>
      </c>
    </row>
    <row r="389" spans="1:19">
      <c r="A389" s="3" t="s">
        <v>409</v>
      </c>
      <c r="B389" s="3" t="str">
        <f>RIGHT(Table1[[#This Row],[Patient_ID]],4)</f>
        <v>1387</v>
      </c>
      <c r="C389" s="1">
        <v>70</v>
      </c>
      <c r="D389" s="1" t="str">
        <f>VLOOKUP(Table1[[#This Row],[Age]],'Lookup &amp; Reference'!$G$2:$H$5,2,1)</f>
        <v>High</v>
      </c>
      <c r="E389" s="1" t="s">
        <v>18</v>
      </c>
      <c r="F389" s="1" t="str">
        <f>_xlfn.CONCAT(LEFT(Table1[[#This Row],[Gender]],1),Table1[[#This Row],[Age]])</f>
        <v>M70</v>
      </c>
      <c r="G389" s="1" t="s">
        <v>25</v>
      </c>
      <c r="H389" s="1">
        <f>LEN(Table1[[#This Row],[Chest_Pain_Type]])</f>
        <v>12</v>
      </c>
      <c r="I389" s="1">
        <v>124</v>
      </c>
      <c r="J389" s="1" t="str" cm="1">
        <f t="array" ref="J38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389" s="1">
        <v>339</v>
      </c>
      <c r="L389" s="1" t="s">
        <v>14</v>
      </c>
      <c r="M389" s="1" t="str">
        <f>IF(Table1[[#This Row],[Fasting_Blood_Sugar]]="Yes","Diabetic Risk","Normal")</f>
        <v>Normal</v>
      </c>
      <c r="N389" s="1" t="s">
        <v>15</v>
      </c>
      <c r="O389" s="1">
        <v>133</v>
      </c>
      <c r="P389" s="1" t="s">
        <v>16</v>
      </c>
      <c r="Q389" s="4" t="s">
        <v>16</v>
      </c>
      <c r="R389" s="1" t="str" cm="1">
        <f t="array" ref="R38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89" s="1">
        <f>IFERROR(Table1[[#This Row],[Cholesterol]]/Table1[[#This Row],[Max_Heart_Rate]],"")</f>
        <v>2.5488721804511276</v>
      </c>
    </row>
    <row r="390" spans="1:19">
      <c r="A390" s="3" t="s">
        <v>410</v>
      </c>
      <c r="B390" s="3" t="str">
        <f>RIGHT(Table1[[#This Row],[Patient_ID]],4)</f>
        <v>1388</v>
      </c>
      <c r="C390" s="1">
        <v>59</v>
      </c>
      <c r="D390" s="1" t="str">
        <f>VLOOKUP(Table1[[#This Row],[Age]],'Lookup &amp; Reference'!$G$2:$H$5,2,1)</f>
        <v>Medium</v>
      </c>
      <c r="E390" s="1" t="s">
        <v>18</v>
      </c>
      <c r="F390" s="1" t="str">
        <f>_xlfn.CONCAT(LEFT(Table1[[#This Row],[Gender]],1),Table1[[#This Row],[Age]])</f>
        <v>M59</v>
      </c>
      <c r="G390" s="1" t="s">
        <v>22</v>
      </c>
      <c r="H390" s="1">
        <f>LEN(Table1[[#This Row],[Chest_Pain_Type]])</f>
        <v>15</v>
      </c>
      <c r="I390" s="1">
        <v>153</v>
      </c>
      <c r="J390" s="1" t="str" cm="1">
        <f t="array" ref="J39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90" s="1">
        <v>318</v>
      </c>
      <c r="L390" s="1" t="s">
        <v>16</v>
      </c>
      <c r="M390" s="1" t="str">
        <f>IF(Table1[[#This Row],[Fasting_Blood_Sugar]]="Yes","Diabetic Risk","Normal")</f>
        <v>Diabetic Risk</v>
      </c>
      <c r="N390" s="1" t="s">
        <v>27</v>
      </c>
      <c r="O390" s="1">
        <v>153</v>
      </c>
      <c r="P390" s="1" t="s">
        <v>16</v>
      </c>
      <c r="Q390" s="4" t="s">
        <v>14</v>
      </c>
      <c r="R390" s="1" t="str" cm="1">
        <f t="array" ref="R39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0" s="1">
        <f>IFERROR(Table1[[#This Row],[Cholesterol]]/Table1[[#This Row],[Max_Heart_Rate]],"")</f>
        <v>2.0784313725490198</v>
      </c>
    </row>
    <row r="391" spans="1:19">
      <c r="A391" s="3" t="s">
        <v>411</v>
      </c>
      <c r="B391" s="3" t="str">
        <f>RIGHT(Table1[[#This Row],[Patient_ID]],4)</f>
        <v>1389</v>
      </c>
      <c r="C391" s="1">
        <v>31</v>
      </c>
      <c r="D391" s="1" t="str">
        <f>VLOOKUP(Table1[[#This Row],[Age]],'Lookup &amp; Reference'!$G$2:$H$5,2,1)</f>
        <v>Low</v>
      </c>
      <c r="E391" s="1" t="s">
        <v>12</v>
      </c>
      <c r="F391" s="1" t="str">
        <f>_xlfn.CONCAT(LEFT(Table1[[#This Row],[Gender]],1),Table1[[#This Row],[Age]])</f>
        <v>F31</v>
      </c>
      <c r="G391" s="1" t="s">
        <v>13</v>
      </c>
      <c r="H391" s="1">
        <f>LEN(Table1[[#This Row],[Chest_Pain_Type]])</f>
        <v>11</v>
      </c>
      <c r="I391" s="1">
        <v>114</v>
      </c>
      <c r="J391" s="1" t="str" cm="1">
        <f t="array" ref="J39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91" s="1">
        <v>279</v>
      </c>
      <c r="L391" s="1" t="s">
        <v>14</v>
      </c>
      <c r="M391" s="1" t="str">
        <f>IF(Table1[[#This Row],[Fasting_Blood_Sugar]]="Yes","Diabetic Risk","Normal")</f>
        <v>Normal</v>
      </c>
      <c r="N391" s="1" t="s">
        <v>20</v>
      </c>
      <c r="O391" s="1">
        <v>118</v>
      </c>
      <c r="P391" s="1" t="s">
        <v>16</v>
      </c>
      <c r="Q391" s="4" t="s">
        <v>16</v>
      </c>
      <c r="R391" s="1" t="str" cm="1">
        <f t="array" ref="R39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1" s="1">
        <f>IFERROR(Table1[[#This Row],[Cholesterol]]/Table1[[#This Row],[Max_Heart_Rate]],"")</f>
        <v>2.3644067796610169</v>
      </c>
    </row>
    <row r="392" spans="1:19">
      <c r="A392" s="3" t="s">
        <v>412</v>
      </c>
      <c r="B392" s="3" t="str">
        <f>RIGHT(Table1[[#This Row],[Patient_ID]],4)</f>
        <v>1390</v>
      </c>
      <c r="C392" s="1">
        <v>68</v>
      </c>
      <c r="D392" s="1" t="str">
        <f>VLOOKUP(Table1[[#This Row],[Age]],'Lookup &amp; Reference'!$G$2:$H$5,2,1)</f>
        <v>High</v>
      </c>
      <c r="E392" s="1" t="s">
        <v>18</v>
      </c>
      <c r="F392" s="1" t="str">
        <f>_xlfn.CONCAT(LEFT(Table1[[#This Row],[Gender]],1),Table1[[#This Row],[Age]])</f>
        <v>M68</v>
      </c>
      <c r="G392" s="1" t="s">
        <v>25</v>
      </c>
      <c r="H392" s="1">
        <f>LEN(Table1[[#This Row],[Chest_Pain_Type]])</f>
        <v>12</v>
      </c>
      <c r="I392" s="1">
        <v>113</v>
      </c>
      <c r="J392" s="1" t="str" cm="1">
        <f t="array" ref="J39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92" s="1">
        <v>130</v>
      </c>
      <c r="L392" s="1" t="s">
        <v>14</v>
      </c>
      <c r="M392" s="1" t="str">
        <f>IF(Table1[[#This Row],[Fasting_Blood_Sugar]]="Yes","Diabetic Risk","Normal")</f>
        <v>Normal</v>
      </c>
      <c r="N392" s="1" t="s">
        <v>15</v>
      </c>
      <c r="O392" s="1">
        <v>117</v>
      </c>
      <c r="P392" s="1" t="s">
        <v>16</v>
      </c>
      <c r="Q392" s="4" t="s">
        <v>14</v>
      </c>
      <c r="R392" s="1" t="str" cm="1">
        <f t="array" ref="R39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2" s="1">
        <f>IFERROR(Table1[[#This Row],[Cholesterol]]/Table1[[#This Row],[Max_Heart_Rate]],"")</f>
        <v>1.1111111111111112</v>
      </c>
    </row>
    <row r="393" spans="1:19">
      <c r="A393" s="3" t="s">
        <v>413</v>
      </c>
      <c r="B393" s="3" t="str">
        <f>RIGHT(Table1[[#This Row],[Patient_ID]],4)</f>
        <v>1391</v>
      </c>
      <c r="C393" s="1">
        <v>74</v>
      </c>
      <c r="D393" s="1" t="str">
        <f>VLOOKUP(Table1[[#This Row],[Age]],'Lookup &amp; Reference'!$G$2:$H$5,2,1)</f>
        <v>High</v>
      </c>
      <c r="E393" s="1" t="s">
        <v>18</v>
      </c>
      <c r="F393" s="1" t="str">
        <f>_xlfn.CONCAT(LEFT(Table1[[#This Row],[Gender]],1),Table1[[#This Row],[Age]])</f>
        <v>M74</v>
      </c>
      <c r="G393" s="1" t="s">
        <v>25</v>
      </c>
      <c r="H393" s="1">
        <f>LEN(Table1[[#This Row],[Chest_Pain_Type]])</f>
        <v>12</v>
      </c>
      <c r="I393" s="1">
        <v>101</v>
      </c>
      <c r="J393" s="1" t="str" cm="1">
        <f t="array" ref="J39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93" s="1">
        <v>257</v>
      </c>
      <c r="L393" s="1" t="s">
        <v>14</v>
      </c>
      <c r="M393" s="1" t="str">
        <f>IF(Table1[[#This Row],[Fasting_Blood_Sugar]]="Yes","Diabetic Risk","Normal")</f>
        <v>Normal</v>
      </c>
      <c r="N393" s="1" t="s">
        <v>15</v>
      </c>
      <c r="O393" s="1">
        <v>100</v>
      </c>
      <c r="P393" s="1" t="s">
        <v>14</v>
      </c>
      <c r="Q393" s="4" t="s">
        <v>16</v>
      </c>
      <c r="R393" s="1" t="str" cm="1">
        <f t="array" ref="R39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393" s="1">
        <f>IFERROR(Table1[[#This Row],[Cholesterol]]/Table1[[#This Row],[Max_Heart_Rate]],"")</f>
        <v>2.57</v>
      </c>
    </row>
    <row r="394" spans="1:19">
      <c r="A394" s="3" t="s">
        <v>414</v>
      </c>
      <c r="B394" s="3" t="str">
        <f>RIGHT(Table1[[#This Row],[Patient_ID]],4)</f>
        <v>1392</v>
      </c>
      <c r="C394" s="1">
        <v>52</v>
      </c>
      <c r="D394" s="1" t="str">
        <f>VLOOKUP(Table1[[#This Row],[Age]],'Lookup &amp; Reference'!$G$2:$H$5,2,1)</f>
        <v>Medium</v>
      </c>
      <c r="E394" s="1" t="s">
        <v>12</v>
      </c>
      <c r="F394" s="1" t="str">
        <f>_xlfn.CONCAT(LEFT(Table1[[#This Row],[Gender]],1),Table1[[#This Row],[Age]])</f>
        <v>F52</v>
      </c>
      <c r="G394" s="1" t="s">
        <v>22</v>
      </c>
      <c r="H394" s="1">
        <f>LEN(Table1[[#This Row],[Chest_Pain_Type]])</f>
        <v>15</v>
      </c>
      <c r="I394" s="1">
        <v>107</v>
      </c>
      <c r="J394" s="1" t="str" cm="1">
        <f t="array" ref="J39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94" s="1">
        <v>320</v>
      </c>
      <c r="L394" s="1" t="s">
        <v>14</v>
      </c>
      <c r="M394" s="1" t="str">
        <f>IF(Table1[[#This Row],[Fasting_Blood_Sugar]]="Yes","Diabetic Risk","Normal")</f>
        <v>Normal</v>
      </c>
      <c r="N394" s="1" t="s">
        <v>27</v>
      </c>
      <c r="O394" s="1">
        <v>154</v>
      </c>
      <c r="P394" s="1" t="s">
        <v>14</v>
      </c>
      <c r="Q394" s="4" t="s">
        <v>14</v>
      </c>
      <c r="R394" s="1" t="str" cm="1">
        <f t="array" ref="R39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4" s="1">
        <f>IFERROR(Table1[[#This Row],[Cholesterol]]/Table1[[#This Row],[Max_Heart_Rate]],"")</f>
        <v>2.0779220779220777</v>
      </c>
    </row>
    <row r="395" spans="1:19">
      <c r="A395" s="3" t="s">
        <v>415</v>
      </c>
      <c r="B395" s="3" t="str">
        <f>RIGHT(Table1[[#This Row],[Patient_ID]],4)</f>
        <v>1393</v>
      </c>
      <c r="C395" s="1">
        <v>78</v>
      </c>
      <c r="D395" s="1" t="str">
        <f>VLOOKUP(Table1[[#This Row],[Age]],'Lookup &amp; Reference'!$G$2:$H$5,2,1)</f>
        <v>High</v>
      </c>
      <c r="E395" s="1" t="s">
        <v>12</v>
      </c>
      <c r="F395" s="1" t="str">
        <f>_xlfn.CONCAT(LEFT(Table1[[#This Row],[Gender]],1),Table1[[#This Row],[Age]])</f>
        <v>F78</v>
      </c>
      <c r="G395" s="1" t="s">
        <v>25</v>
      </c>
      <c r="H395" s="1">
        <f>LEN(Table1[[#This Row],[Chest_Pain_Type]])</f>
        <v>12</v>
      </c>
      <c r="I395" s="1">
        <v>104</v>
      </c>
      <c r="J395" s="1" t="str" cm="1">
        <f t="array" ref="J39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95" s="1">
        <v>197</v>
      </c>
      <c r="L395" s="1" t="s">
        <v>16</v>
      </c>
      <c r="M395" s="1" t="str">
        <f>IF(Table1[[#This Row],[Fasting_Blood_Sugar]]="Yes","Diabetic Risk","Normal")</f>
        <v>Diabetic Risk</v>
      </c>
      <c r="N395" s="1" t="s">
        <v>27</v>
      </c>
      <c r="O395" s="1">
        <v>196</v>
      </c>
      <c r="P395" s="1" t="s">
        <v>14</v>
      </c>
      <c r="Q395" s="4" t="s">
        <v>14</v>
      </c>
      <c r="R395" s="1" t="str" cm="1">
        <f t="array" ref="R39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5" s="1">
        <f>IFERROR(Table1[[#This Row],[Cholesterol]]/Table1[[#This Row],[Max_Heart_Rate]],"")</f>
        <v>1.0051020408163265</v>
      </c>
    </row>
    <row r="396" spans="1:19">
      <c r="A396" s="3" t="s">
        <v>416</v>
      </c>
      <c r="B396" s="3" t="str">
        <f>RIGHT(Table1[[#This Row],[Patient_ID]],4)</f>
        <v>1394</v>
      </c>
      <c r="C396" s="1">
        <v>60</v>
      </c>
      <c r="D396" s="1" t="str">
        <f>VLOOKUP(Table1[[#This Row],[Age]],'Lookup &amp; Reference'!$G$2:$H$5,2,1)</f>
        <v>High</v>
      </c>
      <c r="E396" s="1" t="s">
        <v>12</v>
      </c>
      <c r="F396" s="1" t="str">
        <f>_xlfn.CONCAT(LEFT(Table1[[#This Row],[Gender]],1),Table1[[#This Row],[Age]])</f>
        <v>F60</v>
      </c>
      <c r="G396" s="1" t="s">
        <v>25</v>
      </c>
      <c r="H396" s="1">
        <f>LEN(Table1[[#This Row],[Chest_Pain_Type]])</f>
        <v>12</v>
      </c>
      <c r="I396" s="1">
        <v>169</v>
      </c>
      <c r="J396" s="1" t="str" cm="1">
        <f t="array" ref="J39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96" s="1">
        <v>196</v>
      </c>
      <c r="L396" s="1" t="s">
        <v>16</v>
      </c>
      <c r="M396" s="1" t="str">
        <f>IF(Table1[[#This Row],[Fasting_Blood_Sugar]]="Yes","Diabetic Risk","Normal")</f>
        <v>Diabetic Risk</v>
      </c>
      <c r="N396" s="1" t="s">
        <v>27</v>
      </c>
      <c r="O396" s="1">
        <v>108</v>
      </c>
      <c r="P396" s="1" t="s">
        <v>14</v>
      </c>
      <c r="Q396" s="4" t="s">
        <v>14</v>
      </c>
      <c r="R396" s="1" t="str" cm="1">
        <f t="array" ref="R39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6" s="1">
        <f>IFERROR(Table1[[#This Row],[Cholesterol]]/Table1[[#This Row],[Max_Heart_Rate]],"")</f>
        <v>1.8148148148148149</v>
      </c>
    </row>
    <row r="397" spans="1:19">
      <c r="A397" s="3" t="s">
        <v>417</v>
      </c>
      <c r="B397" s="3" t="str">
        <f>RIGHT(Table1[[#This Row],[Patient_ID]],4)</f>
        <v>1395</v>
      </c>
      <c r="C397" s="1">
        <v>75</v>
      </c>
      <c r="D397" s="1" t="str">
        <f>VLOOKUP(Table1[[#This Row],[Age]],'Lookup &amp; Reference'!$G$2:$H$5,2,1)</f>
        <v>High</v>
      </c>
      <c r="E397" s="1" t="s">
        <v>12</v>
      </c>
      <c r="F397" s="1" t="str">
        <f>_xlfn.CONCAT(LEFT(Table1[[#This Row],[Gender]],1),Table1[[#This Row],[Age]])</f>
        <v>F75</v>
      </c>
      <c r="G397" s="1" t="s">
        <v>22</v>
      </c>
      <c r="H397" s="1">
        <f>LEN(Table1[[#This Row],[Chest_Pain_Type]])</f>
        <v>15</v>
      </c>
      <c r="I397" s="1">
        <v>116</v>
      </c>
      <c r="J397" s="1" t="str" cm="1">
        <f t="array" ref="J39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397" s="1">
        <v>304</v>
      </c>
      <c r="L397" s="1" t="s">
        <v>14</v>
      </c>
      <c r="M397" s="1" t="str">
        <f>IF(Table1[[#This Row],[Fasting_Blood_Sugar]]="Yes","Diabetic Risk","Normal")</f>
        <v>Normal</v>
      </c>
      <c r="N397" s="1" t="s">
        <v>20</v>
      </c>
      <c r="O397" s="1">
        <v>98</v>
      </c>
      <c r="P397" s="1" t="s">
        <v>16</v>
      </c>
      <c r="Q397" s="4" t="s">
        <v>14</v>
      </c>
      <c r="R397" s="1" t="str" cm="1">
        <f t="array" ref="R39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7" s="1">
        <f>IFERROR(Table1[[#This Row],[Cholesterol]]/Table1[[#This Row],[Max_Heart_Rate]],"")</f>
        <v>3.1020408163265305</v>
      </c>
    </row>
    <row r="398" spans="1:19">
      <c r="A398" s="3" t="s">
        <v>418</v>
      </c>
      <c r="B398" s="3" t="str">
        <f>RIGHT(Table1[[#This Row],[Patient_ID]],4)</f>
        <v>1396</v>
      </c>
      <c r="C398" s="1">
        <v>50</v>
      </c>
      <c r="D398" s="1" t="str">
        <f>VLOOKUP(Table1[[#This Row],[Age]],'Lookup &amp; Reference'!$G$2:$H$5,2,1)</f>
        <v>Medium</v>
      </c>
      <c r="E398" s="1" t="s">
        <v>12</v>
      </c>
      <c r="F398" s="1" t="str">
        <f>_xlfn.CONCAT(LEFT(Table1[[#This Row],[Gender]],1),Table1[[#This Row],[Age]])</f>
        <v>F50</v>
      </c>
      <c r="G398" s="1" t="s">
        <v>13</v>
      </c>
      <c r="H398" s="1">
        <f>LEN(Table1[[#This Row],[Chest_Pain_Type]])</f>
        <v>11</v>
      </c>
      <c r="I398" s="1">
        <v>161</v>
      </c>
      <c r="J398" s="1" t="str" cm="1">
        <f t="array" ref="J39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98" s="1">
        <v>272</v>
      </c>
      <c r="L398" s="1" t="s">
        <v>16</v>
      </c>
      <c r="M398" s="1" t="str">
        <f>IF(Table1[[#This Row],[Fasting_Blood_Sugar]]="Yes","Diabetic Risk","Normal")</f>
        <v>Diabetic Risk</v>
      </c>
      <c r="N398" s="1" t="s">
        <v>15</v>
      </c>
      <c r="O398" s="1">
        <v>116</v>
      </c>
      <c r="P398" s="1" t="s">
        <v>16</v>
      </c>
      <c r="Q398" s="4" t="s">
        <v>14</v>
      </c>
      <c r="R398" s="1" t="str" cm="1">
        <f t="array" ref="R39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8" s="1">
        <f>IFERROR(Table1[[#This Row],[Cholesterol]]/Table1[[#This Row],[Max_Heart_Rate]],"")</f>
        <v>2.3448275862068964</v>
      </c>
    </row>
    <row r="399" spans="1:19">
      <c r="A399" s="3" t="s">
        <v>419</v>
      </c>
      <c r="B399" s="3" t="str">
        <f>RIGHT(Table1[[#This Row],[Patient_ID]],4)</f>
        <v>1397</v>
      </c>
      <c r="C399" s="1">
        <v>51</v>
      </c>
      <c r="D399" s="1" t="str">
        <f>VLOOKUP(Table1[[#This Row],[Age]],'Lookup &amp; Reference'!$G$2:$H$5,2,1)</f>
        <v>Medium</v>
      </c>
      <c r="E399" s="1" t="s">
        <v>12</v>
      </c>
      <c r="F399" s="1" t="str">
        <f>_xlfn.CONCAT(LEFT(Table1[[#This Row],[Gender]],1),Table1[[#This Row],[Age]])</f>
        <v>F51</v>
      </c>
      <c r="G399" s="1" t="s">
        <v>25</v>
      </c>
      <c r="H399" s="1">
        <f>LEN(Table1[[#This Row],[Chest_Pain_Type]])</f>
        <v>12</v>
      </c>
      <c r="I399" s="1">
        <v>149</v>
      </c>
      <c r="J399" s="1" t="str" cm="1">
        <f t="array" ref="J39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399" s="1">
        <v>121</v>
      </c>
      <c r="L399" s="1" t="s">
        <v>14</v>
      </c>
      <c r="M399" s="1" t="str">
        <f>IF(Table1[[#This Row],[Fasting_Blood_Sugar]]="Yes","Diabetic Risk","Normal")</f>
        <v>Normal</v>
      </c>
      <c r="N399" s="1" t="s">
        <v>27</v>
      </c>
      <c r="O399" s="1">
        <v>123</v>
      </c>
      <c r="P399" s="1" t="s">
        <v>14</v>
      </c>
      <c r="Q399" s="4" t="s">
        <v>14</v>
      </c>
      <c r="R399" s="1" t="str" cm="1">
        <f t="array" ref="R39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399" s="1">
        <f>IFERROR(Table1[[#This Row],[Cholesterol]]/Table1[[#This Row],[Max_Heart_Rate]],"")</f>
        <v>0.98373983739837401</v>
      </c>
    </row>
    <row r="400" spans="1:19">
      <c r="A400" s="3" t="s">
        <v>420</v>
      </c>
      <c r="B400" s="3" t="str">
        <f>RIGHT(Table1[[#This Row],[Patient_ID]],4)</f>
        <v>1398</v>
      </c>
      <c r="C400" s="1">
        <v>30</v>
      </c>
      <c r="D400" s="1" t="str">
        <f>VLOOKUP(Table1[[#This Row],[Age]],'Lookup &amp; Reference'!$G$2:$H$5,2,1)</f>
        <v>Low</v>
      </c>
      <c r="E400" s="1" t="s">
        <v>12</v>
      </c>
      <c r="F400" s="1" t="str">
        <f>_xlfn.CONCAT(LEFT(Table1[[#This Row],[Gender]],1),Table1[[#This Row],[Age]])</f>
        <v>F30</v>
      </c>
      <c r="G400" s="1" t="s">
        <v>25</v>
      </c>
      <c r="H400" s="1">
        <f>LEN(Table1[[#This Row],[Chest_Pain_Type]])</f>
        <v>12</v>
      </c>
      <c r="I400" s="1">
        <v>135</v>
      </c>
      <c r="J400" s="1" t="str" cm="1">
        <f t="array" ref="J40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00" s="1">
        <v>183</v>
      </c>
      <c r="L400" s="1" t="s">
        <v>14</v>
      </c>
      <c r="M400" s="1" t="str">
        <f>IF(Table1[[#This Row],[Fasting_Blood_Sugar]]="Yes","Diabetic Risk","Normal")</f>
        <v>Normal</v>
      </c>
      <c r="N400" s="1" t="s">
        <v>20</v>
      </c>
      <c r="O400" s="1">
        <v>133</v>
      </c>
      <c r="P400" s="1" t="s">
        <v>16</v>
      </c>
      <c r="Q400" s="4" t="s">
        <v>16</v>
      </c>
      <c r="R400" s="1" t="str" cm="1">
        <f t="array" ref="R40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0" s="1">
        <f>IFERROR(Table1[[#This Row],[Cholesterol]]/Table1[[#This Row],[Max_Heart_Rate]],"")</f>
        <v>1.3759398496240602</v>
      </c>
    </row>
    <row r="401" spans="1:19">
      <c r="A401" s="3" t="s">
        <v>421</v>
      </c>
      <c r="B401" s="3" t="str">
        <f>RIGHT(Table1[[#This Row],[Patient_ID]],4)</f>
        <v>1399</v>
      </c>
      <c r="C401" s="1">
        <v>55</v>
      </c>
      <c r="D401" s="1" t="str">
        <f>VLOOKUP(Table1[[#This Row],[Age]],'Lookup &amp; Reference'!$G$2:$H$5,2,1)</f>
        <v>Medium</v>
      </c>
      <c r="E401" s="1" t="s">
        <v>18</v>
      </c>
      <c r="F401" s="1" t="str">
        <f>_xlfn.CONCAT(LEFT(Table1[[#This Row],[Gender]],1),Table1[[#This Row],[Age]])</f>
        <v>M55</v>
      </c>
      <c r="G401" s="1" t="s">
        <v>25</v>
      </c>
      <c r="H401" s="1">
        <f>LEN(Table1[[#This Row],[Chest_Pain_Type]])</f>
        <v>12</v>
      </c>
      <c r="I401" s="1">
        <v>178</v>
      </c>
      <c r="J401" s="1" t="str" cm="1">
        <f t="array" ref="J40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01" s="1">
        <v>154</v>
      </c>
      <c r="L401" s="1" t="s">
        <v>16</v>
      </c>
      <c r="M401" s="1" t="str">
        <f>IF(Table1[[#This Row],[Fasting_Blood_Sugar]]="Yes","Diabetic Risk","Normal")</f>
        <v>Diabetic Risk</v>
      </c>
      <c r="N401" s="1" t="s">
        <v>20</v>
      </c>
      <c r="O401" s="1">
        <v>157</v>
      </c>
      <c r="P401" s="1" t="s">
        <v>16</v>
      </c>
      <c r="Q401" s="4" t="s">
        <v>14</v>
      </c>
      <c r="R401" s="1" t="str" cm="1">
        <f t="array" ref="R40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1" s="1">
        <f>IFERROR(Table1[[#This Row],[Cholesterol]]/Table1[[#This Row],[Max_Heart_Rate]],"")</f>
        <v>0.98089171974522293</v>
      </c>
    </row>
    <row r="402" spans="1:19">
      <c r="A402" s="3" t="s">
        <v>422</v>
      </c>
      <c r="B402" s="3" t="str">
        <f>RIGHT(Table1[[#This Row],[Patient_ID]],4)</f>
        <v>1400</v>
      </c>
      <c r="C402" s="1">
        <v>70</v>
      </c>
      <c r="D402" s="1" t="str">
        <f>VLOOKUP(Table1[[#This Row],[Age]],'Lookup &amp; Reference'!$G$2:$H$5,2,1)</f>
        <v>High</v>
      </c>
      <c r="E402" s="1" t="s">
        <v>18</v>
      </c>
      <c r="F402" s="1" t="str">
        <f>_xlfn.CONCAT(LEFT(Table1[[#This Row],[Gender]],1),Table1[[#This Row],[Age]])</f>
        <v>M70</v>
      </c>
      <c r="G402" s="1" t="s">
        <v>19</v>
      </c>
      <c r="H402" s="1">
        <f>LEN(Table1[[#This Row],[Chest_Pain_Type]])</f>
        <v>14</v>
      </c>
      <c r="I402" s="1">
        <v>106</v>
      </c>
      <c r="J402" s="1" t="str" cm="1">
        <f t="array" ref="J40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02" s="1">
        <v>126</v>
      </c>
      <c r="L402" s="1" t="s">
        <v>16</v>
      </c>
      <c r="M402" s="1" t="str">
        <f>IF(Table1[[#This Row],[Fasting_Blood_Sugar]]="Yes","Diabetic Risk","Normal")</f>
        <v>Diabetic Risk</v>
      </c>
      <c r="N402" s="1" t="s">
        <v>20</v>
      </c>
      <c r="O402" s="1">
        <v>189</v>
      </c>
      <c r="P402" s="1" t="s">
        <v>14</v>
      </c>
      <c r="Q402" s="4" t="s">
        <v>16</v>
      </c>
      <c r="R402" s="1" t="str" cm="1">
        <f t="array" ref="R40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02" s="1">
        <f>IFERROR(Table1[[#This Row],[Cholesterol]]/Table1[[#This Row],[Max_Heart_Rate]],"")</f>
        <v>0.66666666666666663</v>
      </c>
    </row>
    <row r="403" spans="1:19">
      <c r="A403" s="3" t="s">
        <v>423</v>
      </c>
      <c r="B403" s="3" t="str">
        <f>RIGHT(Table1[[#This Row],[Patient_ID]],4)</f>
        <v>1401</v>
      </c>
      <c r="C403" s="1">
        <v>30</v>
      </c>
      <c r="D403" s="1" t="str">
        <f>VLOOKUP(Table1[[#This Row],[Age]],'Lookup &amp; Reference'!$G$2:$H$5,2,1)</f>
        <v>Low</v>
      </c>
      <c r="E403" s="1" t="s">
        <v>12</v>
      </c>
      <c r="F403" s="1" t="str">
        <f>_xlfn.CONCAT(LEFT(Table1[[#This Row],[Gender]],1),Table1[[#This Row],[Age]])</f>
        <v>F30</v>
      </c>
      <c r="G403" s="1" t="s">
        <v>22</v>
      </c>
      <c r="H403" s="1">
        <f>LEN(Table1[[#This Row],[Chest_Pain_Type]])</f>
        <v>15</v>
      </c>
      <c r="I403" s="1">
        <v>182</v>
      </c>
      <c r="J403" s="1" t="str" cm="1">
        <f t="array" ref="J40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03" s="1">
        <v>204</v>
      </c>
      <c r="L403" s="1" t="s">
        <v>16</v>
      </c>
      <c r="M403" s="1" t="str">
        <f>IF(Table1[[#This Row],[Fasting_Blood_Sugar]]="Yes","Diabetic Risk","Normal")</f>
        <v>Diabetic Risk</v>
      </c>
      <c r="N403" s="1" t="s">
        <v>27</v>
      </c>
      <c r="O403" s="1">
        <v>171</v>
      </c>
      <c r="P403" s="1" t="s">
        <v>16</v>
      </c>
      <c r="Q403" s="4" t="s">
        <v>14</v>
      </c>
      <c r="R403" s="1" t="str" cm="1">
        <f t="array" ref="R40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3" s="1">
        <f>IFERROR(Table1[[#This Row],[Cholesterol]]/Table1[[#This Row],[Max_Heart_Rate]],"")</f>
        <v>1.1929824561403508</v>
      </c>
    </row>
    <row r="404" spans="1:19">
      <c r="A404" s="3" t="s">
        <v>424</v>
      </c>
      <c r="B404" s="3" t="str">
        <f>RIGHT(Table1[[#This Row],[Patient_ID]],4)</f>
        <v>1402</v>
      </c>
      <c r="C404" s="1">
        <v>54</v>
      </c>
      <c r="D404" s="1" t="str">
        <f>VLOOKUP(Table1[[#This Row],[Age]],'Lookup &amp; Reference'!$G$2:$H$5,2,1)</f>
        <v>Medium</v>
      </c>
      <c r="E404" s="1" t="s">
        <v>18</v>
      </c>
      <c r="F404" s="1" t="str">
        <f>_xlfn.CONCAT(LEFT(Table1[[#This Row],[Gender]],1),Table1[[#This Row],[Age]])</f>
        <v>M54</v>
      </c>
      <c r="G404" s="1" t="s">
        <v>19</v>
      </c>
      <c r="H404" s="1">
        <f>LEN(Table1[[#This Row],[Chest_Pain_Type]])</f>
        <v>14</v>
      </c>
      <c r="I404" s="1">
        <v>142</v>
      </c>
      <c r="J404" s="1" t="str" cm="1">
        <f t="array" ref="J40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04" s="1">
        <v>265</v>
      </c>
      <c r="L404" s="1" t="s">
        <v>14</v>
      </c>
      <c r="M404" s="1" t="str">
        <f>IF(Table1[[#This Row],[Fasting_Blood_Sugar]]="Yes","Diabetic Risk","Normal")</f>
        <v>Normal</v>
      </c>
      <c r="N404" s="1" t="s">
        <v>27</v>
      </c>
      <c r="O404" s="1">
        <v>104</v>
      </c>
      <c r="P404" s="1" t="s">
        <v>14</v>
      </c>
      <c r="Q404" s="4" t="s">
        <v>16</v>
      </c>
      <c r="R404" s="1" t="str" cm="1">
        <f t="array" ref="R40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04" s="1">
        <f>IFERROR(Table1[[#This Row],[Cholesterol]]/Table1[[#This Row],[Max_Heart_Rate]],"")</f>
        <v>2.5480769230769229</v>
      </c>
    </row>
    <row r="405" spans="1:19">
      <c r="A405" s="3" t="s">
        <v>425</v>
      </c>
      <c r="B405" s="3" t="str">
        <f>RIGHT(Table1[[#This Row],[Patient_ID]],4)</f>
        <v>1403</v>
      </c>
      <c r="C405" s="1">
        <v>45</v>
      </c>
      <c r="D405" s="1" t="str">
        <f>VLOOKUP(Table1[[#This Row],[Age]],'Lookup &amp; Reference'!$G$2:$H$5,2,1)</f>
        <v>Medium</v>
      </c>
      <c r="E405" s="1" t="s">
        <v>18</v>
      </c>
      <c r="F405" s="1" t="str">
        <f>_xlfn.CONCAT(LEFT(Table1[[#This Row],[Gender]],1),Table1[[#This Row],[Age]])</f>
        <v>M45</v>
      </c>
      <c r="G405" s="1" t="s">
        <v>22</v>
      </c>
      <c r="H405" s="1">
        <f>LEN(Table1[[#This Row],[Chest_Pain_Type]])</f>
        <v>15</v>
      </c>
      <c r="I405" s="1">
        <v>97</v>
      </c>
      <c r="J405" s="1" t="str" cm="1">
        <f t="array" ref="J40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05" s="1">
        <v>186</v>
      </c>
      <c r="L405" s="1" t="s">
        <v>16</v>
      </c>
      <c r="M405" s="1" t="str">
        <f>IF(Table1[[#This Row],[Fasting_Blood_Sugar]]="Yes","Diabetic Risk","Normal")</f>
        <v>Diabetic Risk</v>
      </c>
      <c r="N405" s="1" t="s">
        <v>15</v>
      </c>
      <c r="O405" s="1">
        <v>140</v>
      </c>
      <c r="P405" s="1" t="s">
        <v>14</v>
      </c>
      <c r="Q405" s="4" t="s">
        <v>14</v>
      </c>
      <c r="R405" s="1" t="str" cm="1">
        <f t="array" ref="R40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5" s="1">
        <f>IFERROR(Table1[[#This Row],[Cholesterol]]/Table1[[#This Row],[Max_Heart_Rate]],"")</f>
        <v>1.3285714285714285</v>
      </c>
    </row>
    <row r="406" spans="1:19">
      <c r="A406" s="3" t="s">
        <v>426</v>
      </c>
      <c r="B406" s="3" t="str">
        <f>RIGHT(Table1[[#This Row],[Patient_ID]],4)</f>
        <v>1404</v>
      </c>
      <c r="C406" s="1">
        <v>68</v>
      </c>
      <c r="D406" s="1" t="str">
        <f>VLOOKUP(Table1[[#This Row],[Age]],'Lookup &amp; Reference'!$G$2:$H$5,2,1)</f>
        <v>High</v>
      </c>
      <c r="E406" s="1" t="s">
        <v>18</v>
      </c>
      <c r="F406" s="1" t="str">
        <f>_xlfn.CONCAT(LEFT(Table1[[#This Row],[Gender]],1),Table1[[#This Row],[Age]])</f>
        <v>M68</v>
      </c>
      <c r="G406" s="1" t="s">
        <v>13</v>
      </c>
      <c r="H406" s="1">
        <f>LEN(Table1[[#This Row],[Chest_Pain_Type]])</f>
        <v>11</v>
      </c>
      <c r="I406" s="1">
        <v>168</v>
      </c>
      <c r="J406" s="1" t="str" cm="1">
        <f t="array" ref="J40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06" s="1">
        <v>161</v>
      </c>
      <c r="L406" s="1" t="s">
        <v>14</v>
      </c>
      <c r="M406" s="1" t="str">
        <f>IF(Table1[[#This Row],[Fasting_Blood_Sugar]]="Yes","Diabetic Risk","Normal")</f>
        <v>Normal</v>
      </c>
      <c r="N406" s="1" t="s">
        <v>15</v>
      </c>
      <c r="O406" s="1">
        <v>102</v>
      </c>
      <c r="P406" s="1" t="s">
        <v>16</v>
      </c>
      <c r="Q406" s="4" t="s">
        <v>14</v>
      </c>
      <c r="R406" s="1" t="str" cm="1">
        <f t="array" ref="R40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6" s="1">
        <f>IFERROR(Table1[[#This Row],[Cholesterol]]/Table1[[#This Row],[Max_Heart_Rate]],"")</f>
        <v>1.5784313725490196</v>
      </c>
    </row>
    <row r="407" spans="1:19">
      <c r="A407" s="3" t="s">
        <v>427</v>
      </c>
      <c r="B407" s="3" t="str">
        <f>RIGHT(Table1[[#This Row],[Patient_ID]],4)</f>
        <v>1405</v>
      </c>
      <c r="C407" s="1">
        <v>61</v>
      </c>
      <c r="D407" s="1" t="str">
        <f>VLOOKUP(Table1[[#This Row],[Age]],'Lookup &amp; Reference'!$G$2:$H$5,2,1)</f>
        <v>High</v>
      </c>
      <c r="E407" s="1" t="s">
        <v>12</v>
      </c>
      <c r="F407" s="1" t="str">
        <f>_xlfn.CONCAT(LEFT(Table1[[#This Row],[Gender]],1),Table1[[#This Row],[Age]])</f>
        <v>F61</v>
      </c>
      <c r="G407" s="1" t="s">
        <v>13</v>
      </c>
      <c r="H407" s="1">
        <f>LEN(Table1[[#This Row],[Chest_Pain_Type]])</f>
        <v>11</v>
      </c>
      <c r="I407" s="1">
        <v>116</v>
      </c>
      <c r="J407" s="1" t="str" cm="1">
        <f t="array" ref="J40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07" s="1">
        <v>237</v>
      </c>
      <c r="L407" s="1" t="s">
        <v>16</v>
      </c>
      <c r="M407" s="1" t="str">
        <f>IF(Table1[[#This Row],[Fasting_Blood_Sugar]]="Yes","Diabetic Risk","Normal")</f>
        <v>Diabetic Risk</v>
      </c>
      <c r="N407" s="1" t="s">
        <v>27</v>
      </c>
      <c r="O407" s="1">
        <v>172</v>
      </c>
      <c r="P407" s="1" t="s">
        <v>16</v>
      </c>
      <c r="Q407" s="4" t="s">
        <v>16</v>
      </c>
      <c r="R407" s="1" t="str" cm="1">
        <f t="array" ref="R40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07" s="1">
        <f>IFERROR(Table1[[#This Row],[Cholesterol]]/Table1[[#This Row],[Max_Heart_Rate]],"")</f>
        <v>1.3779069767441861</v>
      </c>
    </row>
    <row r="408" spans="1:19">
      <c r="A408" s="3" t="s">
        <v>428</v>
      </c>
      <c r="B408" s="3" t="str">
        <f>RIGHT(Table1[[#This Row],[Patient_ID]],4)</f>
        <v>1406</v>
      </c>
      <c r="C408" s="1">
        <v>37</v>
      </c>
      <c r="D408" s="1" t="str">
        <f>VLOOKUP(Table1[[#This Row],[Age]],'Lookup &amp; Reference'!$G$2:$H$5,2,1)</f>
        <v>Low</v>
      </c>
      <c r="E408" s="1" t="s">
        <v>12</v>
      </c>
      <c r="F408" s="1" t="str">
        <f>_xlfn.CONCAT(LEFT(Table1[[#This Row],[Gender]],1),Table1[[#This Row],[Age]])</f>
        <v>F37</v>
      </c>
      <c r="G408" s="1" t="s">
        <v>25</v>
      </c>
      <c r="H408" s="1">
        <f>LEN(Table1[[#This Row],[Chest_Pain_Type]])</f>
        <v>12</v>
      </c>
      <c r="I408" s="1">
        <v>135</v>
      </c>
      <c r="J408" s="1" t="str" cm="1">
        <f t="array" ref="J40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08" s="1">
        <v>244</v>
      </c>
      <c r="L408" s="1" t="s">
        <v>16</v>
      </c>
      <c r="M408" s="1" t="str">
        <f>IF(Table1[[#This Row],[Fasting_Blood_Sugar]]="Yes","Diabetic Risk","Normal")</f>
        <v>Diabetic Risk</v>
      </c>
      <c r="N408" s="1" t="s">
        <v>20</v>
      </c>
      <c r="O408" s="1">
        <v>138</v>
      </c>
      <c r="P408" s="1" t="s">
        <v>14</v>
      </c>
      <c r="Q408" s="4" t="s">
        <v>14</v>
      </c>
      <c r="R408" s="1" t="str" cm="1">
        <f t="array" ref="R40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8" s="1">
        <f>IFERROR(Table1[[#This Row],[Cholesterol]]/Table1[[#This Row],[Max_Heart_Rate]],"")</f>
        <v>1.7681159420289856</v>
      </c>
    </row>
    <row r="409" spans="1:19">
      <c r="A409" s="3" t="s">
        <v>429</v>
      </c>
      <c r="B409" s="3" t="str">
        <f>RIGHT(Table1[[#This Row],[Patient_ID]],4)</f>
        <v>1407</v>
      </c>
      <c r="C409" s="1">
        <v>71</v>
      </c>
      <c r="D409" s="1" t="str">
        <f>VLOOKUP(Table1[[#This Row],[Age]],'Lookup &amp; Reference'!$G$2:$H$5,2,1)</f>
        <v>High</v>
      </c>
      <c r="E409" s="1" t="s">
        <v>18</v>
      </c>
      <c r="F409" s="1" t="str">
        <f>_xlfn.CONCAT(LEFT(Table1[[#This Row],[Gender]],1),Table1[[#This Row],[Age]])</f>
        <v>M71</v>
      </c>
      <c r="G409" s="1" t="s">
        <v>22</v>
      </c>
      <c r="H409" s="1">
        <f>LEN(Table1[[#This Row],[Chest_Pain_Type]])</f>
        <v>15</v>
      </c>
      <c r="I409" s="1">
        <v>139</v>
      </c>
      <c r="J409" s="1" t="str" cm="1">
        <f t="array" ref="J40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09" s="1">
        <v>286</v>
      </c>
      <c r="L409" s="1" t="s">
        <v>14</v>
      </c>
      <c r="M409" s="1" t="str">
        <f>IF(Table1[[#This Row],[Fasting_Blood_Sugar]]="Yes","Diabetic Risk","Normal")</f>
        <v>Normal</v>
      </c>
      <c r="N409" s="1" t="s">
        <v>20</v>
      </c>
      <c r="O409" s="1">
        <v>159</v>
      </c>
      <c r="P409" s="1" t="s">
        <v>14</v>
      </c>
      <c r="Q409" s="4" t="s">
        <v>14</v>
      </c>
      <c r="R409" s="1" t="str" cm="1">
        <f t="array" ref="R40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09" s="1">
        <f>IFERROR(Table1[[#This Row],[Cholesterol]]/Table1[[#This Row],[Max_Heart_Rate]],"")</f>
        <v>1.7987421383647799</v>
      </c>
    </row>
    <row r="410" spans="1:19">
      <c r="A410" s="3" t="s">
        <v>430</v>
      </c>
      <c r="B410" s="3" t="str">
        <f>RIGHT(Table1[[#This Row],[Patient_ID]],4)</f>
        <v>1408</v>
      </c>
      <c r="C410" s="1">
        <v>76</v>
      </c>
      <c r="D410" s="1" t="str">
        <f>VLOOKUP(Table1[[#This Row],[Age]],'Lookup &amp; Reference'!$G$2:$H$5,2,1)</f>
        <v>High</v>
      </c>
      <c r="E410" s="1" t="s">
        <v>12</v>
      </c>
      <c r="F410" s="1" t="str">
        <f>_xlfn.CONCAT(LEFT(Table1[[#This Row],[Gender]],1),Table1[[#This Row],[Age]])</f>
        <v>F76</v>
      </c>
      <c r="G410" s="1" t="s">
        <v>13</v>
      </c>
      <c r="H410" s="1">
        <f>LEN(Table1[[#This Row],[Chest_Pain_Type]])</f>
        <v>11</v>
      </c>
      <c r="I410" s="1">
        <v>160</v>
      </c>
      <c r="J410" s="1" t="str" cm="1">
        <f t="array" ref="J41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10" s="1">
        <v>288</v>
      </c>
      <c r="L410" s="1" t="s">
        <v>14</v>
      </c>
      <c r="M410" s="1" t="str">
        <f>IF(Table1[[#This Row],[Fasting_Blood_Sugar]]="Yes","Diabetic Risk","Normal")</f>
        <v>Normal</v>
      </c>
      <c r="N410" s="1" t="s">
        <v>20</v>
      </c>
      <c r="O410" s="1">
        <v>201</v>
      </c>
      <c r="P410" s="1" t="s">
        <v>16</v>
      </c>
      <c r="Q410" s="4" t="s">
        <v>14</v>
      </c>
      <c r="R410" s="1" t="str" cm="1">
        <f t="array" ref="R41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0" s="1">
        <f>IFERROR(Table1[[#This Row],[Cholesterol]]/Table1[[#This Row],[Max_Heart_Rate]],"")</f>
        <v>1.4328358208955223</v>
      </c>
    </row>
    <row r="411" spans="1:19">
      <c r="A411" s="3" t="s">
        <v>431</v>
      </c>
      <c r="B411" s="3" t="str">
        <f>RIGHT(Table1[[#This Row],[Patient_ID]],4)</f>
        <v>1409</v>
      </c>
      <c r="C411" s="1">
        <v>67</v>
      </c>
      <c r="D411" s="1" t="str">
        <f>VLOOKUP(Table1[[#This Row],[Age]],'Lookup &amp; Reference'!$G$2:$H$5,2,1)</f>
        <v>High</v>
      </c>
      <c r="E411" s="1" t="s">
        <v>18</v>
      </c>
      <c r="F411" s="1" t="str">
        <f>_xlfn.CONCAT(LEFT(Table1[[#This Row],[Gender]],1),Table1[[#This Row],[Age]])</f>
        <v>M67</v>
      </c>
      <c r="G411" s="1" t="s">
        <v>22</v>
      </c>
      <c r="H411" s="1">
        <f>LEN(Table1[[#This Row],[Chest_Pain_Type]])</f>
        <v>15</v>
      </c>
      <c r="I411" s="1">
        <v>92</v>
      </c>
      <c r="J411" s="1" t="str" cm="1">
        <f t="array" ref="J41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11" s="1">
        <v>322</v>
      </c>
      <c r="L411" s="1" t="s">
        <v>14</v>
      </c>
      <c r="M411" s="1" t="str">
        <f>IF(Table1[[#This Row],[Fasting_Blood_Sugar]]="Yes","Diabetic Risk","Normal")</f>
        <v>Normal</v>
      </c>
      <c r="N411" s="1" t="s">
        <v>15</v>
      </c>
      <c r="O411" s="1">
        <v>145</v>
      </c>
      <c r="P411" s="1" t="s">
        <v>14</v>
      </c>
      <c r="Q411" s="4" t="s">
        <v>16</v>
      </c>
      <c r="R411" s="1" t="str" cm="1">
        <f t="array" ref="R41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11" s="1">
        <f>IFERROR(Table1[[#This Row],[Cholesterol]]/Table1[[#This Row],[Max_Heart_Rate]],"")</f>
        <v>2.2206896551724138</v>
      </c>
    </row>
    <row r="412" spans="1:19">
      <c r="A412" s="3" t="s">
        <v>432</v>
      </c>
      <c r="B412" s="3" t="str">
        <f>RIGHT(Table1[[#This Row],[Patient_ID]],4)</f>
        <v>1410</v>
      </c>
      <c r="C412" s="1">
        <v>57</v>
      </c>
      <c r="D412" s="1" t="str">
        <f>VLOOKUP(Table1[[#This Row],[Age]],'Lookup &amp; Reference'!$G$2:$H$5,2,1)</f>
        <v>Medium</v>
      </c>
      <c r="E412" s="1" t="s">
        <v>18</v>
      </c>
      <c r="F412" s="1" t="str">
        <f>_xlfn.CONCAT(LEFT(Table1[[#This Row],[Gender]],1),Table1[[#This Row],[Age]])</f>
        <v>M57</v>
      </c>
      <c r="G412" s="1" t="s">
        <v>13</v>
      </c>
      <c r="H412" s="1">
        <f>LEN(Table1[[#This Row],[Chest_Pain_Type]])</f>
        <v>11</v>
      </c>
      <c r="I412" s="1">
        <v>182</v>
      </c>
      <c r="J412" s="1" t="str" cm="1">
        <f t="array" ref="J41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12" s="1">
        <v>143</v>
      </c>
      <c r="L412" s="1" t="s">
        <v>14</v>
      </c>
      <c r="M412" s="1" t="str">
        <f>IF(Table1[[#This Row],[Fasting_Blood_Sugar]]="Yes","Diabetic Risk","Normal")</f>
        <v>Normal</v>
      </c>
      <c r="N412" s="1" t="s">
        <v>20</v>
      </c>
      <c r="O412" s="1">
        <v>165</v>
      </c>
      <c r="P412" s="1" t="s">
        <v>14</v>
      </c>
      <c r="Q412" s="4" t="s">
        <v>14</v>
      </c>
      <c r="R412" s="1" t="str" cm="1">
        <f t="array" ref="R41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2" s="1">
        <f>IFERROR(Table1[[#This Row],[Cholesterol]]/Table1[[#This Row],[Max_Heart_Rate]],"")</f>
        <v>0.8666666666666667</v>
      </c>
    </row>
    <row r="413" spans="1:19">
      <c r="A413" s="3" t="s">
        <v>433</v>
      </c>
      <c r="B413" s="3" t="str">
        <f>RIGHT(Table1[[#This Row],[Patient_ID]],4)</f>
        <v>1411</v>
      </c>
      <c r="C413" s="1">
        <v>70</v>
      </c>
      <c r="D413" s="1" t="str">
        <f>VLOOKUP(Table1[[#This Row],[Age]],'Lookup &amp; Reference'!$G$2:$H$5,2,1)</f>
        <v>High</v>
      </c>
      <c r="E413" s="1" t="s">
        <v>18</v>
      </c>
      <c r="F413" s="1" t="str">
        <f>_xlfn.CONCAT(LEFT(Table1[[#This Row],[Gender]],1),Table1[[#This Row],[Age]])</f>
        <v>M70</v>
      </c>
      <c r="G413" s="1" t="s">
        <v>19</v>
      </c>
      <c r="H413" s="1">
        <f>LEN(Table1[[#This Row],[Chest_Pain_Type]])</f>
        <v>14</v>
      </c>
      <c r="I413" s="1">
        <v>153</v>
      </c>
      <c r="J413" s="1" t="str" cm="1">
        <f t="array" ref="J41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13" s="1">
        <v>307</v>
      </c>
      <c r="L413" s="1" t="s">
        <v>14</v>
      </c>
      <c r="M413" s="1" t="str">
        <f>IF(Table1[[#This Row],[Fasting_Blood_Sugar]]="Yes","Diabetic Risk","Normal")</f>
        <v>Normal</v>
      </c>
      <c r="N413" s="1" t="s">
        <v>15</v>
      </c>
      <c r="O413" s="1">
        <v>140</v>
      </c>
      <c r="P413" s="1" t="s">
        <v>14</v>
      </c>
      <c r="Q413" s="4" t="s">
        <v>16</v>
      </c>
      <c r="R413" s="1" t="str" cm="1">
        <f t="array" ref="R41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13" s="1">
        <f>IFERROR(Table1[[#This Row],[Cholesterol]]/Table1[[#This Row],[Max_Heart_Rate]],"")</f>
        <v>2.1928571428571431</v>
      </c>
    </row>
    <row r="414" spans="1:19">
      <c r="A414" s="3" t="s">
        <v>434</v>
      </c>
      <c r="B414" s="3" t="str">
        <f>RIGHT(Table1[[#This Row],[Patient_ID]],4)</f>
        <v>1412</v>
      </c>
      <c r="C414" s="1">
        <v>54</v>
      </c>
      <c r="D414" s="1" t="str">
        <f>VLOOKUP(Table1[[#This Row],[Age]],'Lookup &amp; Reference'!$G$2:$H$5,2,1)</f>
        <v>Medium</v>
      </c>
      <c r="E414" s="1" t="s">
        <v>18</v>
      </c>
      <c r="F414" s="1" t="str">
        <f>_xlfn.CONCAT(LEFT(Table1[[#This Row],[Gender]],1),Table1[[#This Row],[Age]])</f>
        <v>M54</v>
      </c>
      <c r="G414" s="1" t="s">
        <v>13</v>
      </c>
      <c r="H414" s="1">
        <f>LEN(Table1[[#This Row],[Chest_Pain_Type]])</f>
        <v>11</v>
      </c>
      <c r="I414" s="1">
        <v>133</v>
      </c>
      <c r="J414" s="1" t="str" cm="1">
        <f t="array" ref="J41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14" s="1">
        <v>165</v>
      </c>
      <c r="L414" s="1" t="s">
        <v>14</v>
      </c>
      <c r="M414" s="1" t="str">
        <f>IF(Table1[[#This Row],[Fasting_Blood_Sugar]]="Yes","Diabetic Risk","Normal")</f>
        <v>Normal</v>
      </c>
      <c r="N414" s="1" t="s">
        <v>15</v>
      </c>
      <c r="O414" s="1">
        <v>126</v>
      </c>
      <c r="P414" s="1" t="s">
        <v>16</v>
      </c>
      <c r="Q414" s="4" t="s">
        <v>14</v>
      </c>
      <c r="R414" s="1" t="str" cm="1">
        <f t="array" ref="R41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4" s="1">
        <f>IFERROR(Table1[[#This Row],[Cholesterol]]/Table1[[#This Row],[Max_Heart_Rate]],"")</f>
        <v>1.3095238095238095</v>
      </c>
    </row>
    <row r="415" spans="1:19">
      <c r="A415" s="3" t="s">
        <v>435</v>
      </c>
      <c r="B415" s="3" t="str">
        <f>RIGHT(Table1[[#This Row],[Patient_ID]],4)</f>
        <v>1413</v>
      </c>
      <c r="C415" s="1">
        <v>63</v>
      </c>
      <c r="D415" s="1" t="str">
        <f>VLOOKUP(Table1[[#This Row],[Age]],'Lookup &amp; Reference'!$G$2:$H$5,2,1)</f>
        <v>High</v>
      </c>
      <c r="E415" s="1" t="s">
        <v>12</v>
      </c>
      <c r="F415" s="1" t="str">
        <f>_xlfn.CONCAT(LEFT(Table1[[#This Row],[Gender]],1),Table1[[#This Row],[Age]])</f>
        <v>F63</v>
      </c>
      <c r="G415" s="1" t="s">
        <v>19</v>
      </c>
      <c r="H415" s="1">
        <f>LEN(Table1[[#This Row],[Chest_Pain_Type]])</f>
        <v>14</v>
      </c>
      <c r="I415" s="1">
        <v>142</v>
      </c>
      <c r="J415" s="1" t="str" cm="1">
        <f t="array" ref="J41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15" s="1">
        <v>138</v>
      </c>
      <c r="L415" s="1" t="s">
        <v>14</v>
      </c>
      <c r="M415" s="1" t="str">
        <f>IF(Table1[[#This Row],[Fasting_Blood_Sugar]]="Yes","Diabetic Risk","Normal")</f>
        <v>Normal</v>
      </c>
      <c r="N415" s="1" t="s">
        <v>20</v>
      </c>
      <c r="O415" s="1">
        <v>106</v>
      </c>
      <c r="P415" s="1" t="s">
        <v>14</v>
      </c>
      <c r="Q415" s="4" t="s">
        <v>14</v>
      </c>
      <c r="R415" s="1" t="str" cm="1">
        <f t="array" ref="R41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5" s="1">
        <f>IFERROR(Table1[[#This Row],[Cholesterol]]/Table1[[#This Row],[Max_Heart_Rate]],"")</f>
        <v>1.3018867924528301</v>
      </c>
    </row>
    <row r="416" spans="1:19">
      <c r="A416" s="3" t="s">
        <v>436</v>
      </c>
      <c r="B416" s="3" t="str">
        <f>RIGHT(Table1[[#This Row],[Patient_ID]],4)</f>
        <v>1414</v>
      </c>
      <c r="C416" s="1">
        <v>78</v>
      </c>
      <c r="D416" s="1" t="str">
        <f>VLOOKUP(Table1[[#This Row],[Age]],'Lookup &amp; Reference'!$G$2:$H$5,2,1)</f>
        <v>High</v>
      </c>
      <c r="E416" s="1" t="s">
        <v>12</v>
      </c>
      <c r="F416" s="1" t="str">
        <f>_xlfn.CONCAT(LEFT(Table1[[#This Row],[Gender]],1),Table1[[#This Row],[Age]])</f>
        <v>F78</v>
      </c>
      <c r="G416" s="1" t="s">
        <v>13</v>
      </c>
      <c r="H416" s="1">
        <f>LEN(Table1[[#This Row],[Chest_Pain_Type]])</f>
        <v>11</v>
      </c>
      <c r="I416" s="1">
        <v>113</v>
      </c>
      <c r="J416" s="1" t="str" cm="1">
        <f t="array" ref="J41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16" s="1">
        <v>187</v>
      </c>
      <c r="L416" s="1" t="s">
        <v>14</v>
      </c>
      <c r="M416" s="1" t="str">
        <f>IF(Table1[[#This Row],[Fasting_Blood_Sugar]]="Yes","Diabetic Risk","Normal")</f>
        <v>Normal</v>
      </c>
      <c r="N416" s="1" t="s">
        <v>20</v>
      </c>
      <c r="O416" s="1">
        <v>147</v>
      </c>
      <c r="P416" s="1" t="s">
        <v>16</v>
      </c>
      <c r="Q416" s="4" t="s">
        <v>16</v>
      </c>
      <c r="R416" s="1" t="str" cm="1">
        <f t="array" ref="R41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16" s="1">
        <f>IFERROR(Table1[[#This Row],[Cholesterol]]/Table1[[#This Row],[Max_Heart_Rate]],"")</f>
        <v>1.272108843537415</v>
      </c>
    </row>
    <row r="417" spans="1:19">
      <c r="A417" s="3" t="s">
        <v>437</v>
      </c>
      <c r="B417" s="3" t="str">
        <f>RIGHT(Table1[[#This Row],[Patient_ID]],4)</f>
        <v>1415</v>
      </c>
      <c r="C417" s="1">
        <v>53</v>
      </c>
      <c r="D417" s="1" t="str">
        <f>VLOOKUP(Table1[[#This Row],[Age]],'Lookup &amp; Reference'!$G$2:$H$5,2,1)</f>
        <v>Medium</v>
      </c>
      <c r="E417" s="1" t="s">
        <v>12</v>
      </c>
      <c r="F417" s="1" t="str">
        <f>_xlfn.CONCAT(LEFT(Table1[[#This Row],[Gender]],1),Table1[[#This Row],[Age]])</f>
        <v>F53</v>
      </c>
      <c r="G417" s="1" t="s">
        <v>25</v>
      </c>
      <c r="H417" s="1">
        <f>LEN(Table1[[#This Row],[Chest_Pain_Type]])</f>
        <v>12</v>
      </c>
      <c r="I417" s="1">
        <v>149</v>
      </c>
      <c r="J417" s="1" t="str" cm="1">
        <f t="array" ref="J41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17" s="1">
        <v>337</v>
      </c>
      <c r="L417" s="1" t="s">
        <v>16</v>
      </c>
      <c r="M417" s="1" t="str">
        <f>IF(Table1[[#This Row],[Fasting_Blood_Sugar]]="Yes","Diabetic Risk","Normal")</f>
        <v>Diabetic Risk</v>
      </c>
      <c r="N417" s="1" t="s">
        <v>27</v>
      </c>
      <c r="O417" s="1">
        <v>176</v>
      </c>
      <c r="P417" s="1" t="s">
        <v>14</v>
      </c>
      <c r="Q417" s="4" t="s">
        <v>14</v>
      </c>
      <c r="R417" s="1" t="str" cm="1">
        <f t="array" ref="R41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7" s="1">
        <f>IFERROR(Table1[[#This Row],[Cholesterol]]/Table1[[#This Row],[Max_Heart_Rate]],"")</f>
        <v>1.9147727272727273</v>
      </c>
    </row>
    <row r="418" spans="1:19">
      <c r="A418" s="3" t="s">
        <v>438</v>
      </c>
      <c r="B418" s="3" t="str">
        <f>RIGHT(Table1[[#This Row],[Patient_ID]],4)</f>
        <v>1416</v>
      </c>
      <c r="C418" s="1">
        <v>52</v>
      </c>
      <c r="D418" s="1" t="str">
        <f>VLOOKUP(Table1[[#This Row],[Age]],'Lookup &amp; Reference'!$G$2:$H$5,2,1)</f>
        <v>Medium</v>
      </c>
      <c r="E418" s="1" t="s">
        <v>18</v>
      </c>
      <c r="F418" s="1" t="str">
        <f>_xlfn.CONCAT(LEFT(Table1[[#This Row],[Gender]],1),Table1[[#This Row],[Age]])</f>
        <v>M52</v>
      </c>
      <c r="G418" s="1" t="s">
        <v>19</v>
      </c>
      <c r="H418" s="1">
        <f>LEN(Table1[[#This Row],[Chest_Pain_Type]])</f>
        <v>14</v>
      </c>
      <c r="I418" s="1">
        <v>92</v>
      </c>
      <c r="J418" s="1" t="str" cm="1">
        <f t="array" ref="J41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18" s="1">
        <v>221</v>
      </c>
      <c r="L418" s="1" t="s">
        <v>14</v>
      </c>
      <c r="M418" s="1" t="str">
        <f>IF(Table1[[#This Row],[Fasting_Blood_Sugar]]="Yes","Diabetic Risk","Normal")</f>
        <v>Normal</v>
      </c>
      <c r="N418" s="1" t="s">
        <v>27</v>
      </c>
      <c r="O418" s="1">
        <v>179</v>
      </c>
      <c r="P418" s="1" t="s">
        <v>16</v>
      </c>
      <c r="Q418" s="4" t="s">
        <v>14</v>
      </c>
      <c r="R418" s="1" t="str" cm="1">
        <f t="array" ref="R41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8" s="1">
        <f>IFERROR(Table1[[#This Row],[Cholesterol]]/Table1[[#This Row],[Max_Heart_Rate]],"")</f>
        <v>1.23463687150838</v>
      </c>
    </row>
    <row r="419" spans="1:19">
      <c r="A419" s="3" t="s">
        <v>439</v>
      </c>
      <c r="B419" s="3" t="str">
        <f>RIGHT(Table1[[#This Row],[Patient_ID]],4)</f>
        <v>1417</v>
      </c>
      <c r="C419" s="1">
        <v>41</v>
      </c>
      <c r="D419" s="1" t="str">
        <f>VLOOKUP(Table1[[#This Row],[Age]],'Lookup &amp; Reference'!$G$2:$H$5,2,1)</f>
        <v>Low</v>
      </c>
      <c r="E419" s="1" t="s">
        <v>12</v>
      </c>
      <c r="F419" s="1" t="str">
        <f>_xlfn.CONCAT(LEFT(Table1[[#This Row],[Gender]],1),Table1[[#This Row],[Age]])</f>
        <v>F41</v>
      </c>
      <c r="G419" s="1" t="s">
        <v>13</v>
      </c>
      <c r="H419" s="1">
        <f>LEN(Table1[[#This Row],[Chest_Pain_Type]])</f>
        <v>11</v>
      </c>
      <c r="I419" s="1">
        <v>109</v>
      </c>
      <c r="J419" s="1" t="str" cm="1">
        <f t="array" ref="J41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19" s="1">
        <v>161</v>
      </c>
      <c r="L419" s="1" t="s">
        <v>14</v>
      </c>
      <c r="M419" s="1" t="str">
        <f>IF(Table1[[#This Row],[Fasting_Blood_Sugar]]="Yes","Diabetic Risk","Normal")</f>
        <v>Normal</v>
      </c>
      <c r="N419" s="1" t="s">
        <v>20</v>
      </c>
      <c r="O419" s="1">
        <v>118</v>
      </c>
      <c r="P419" s="1" t="s">
        <v>14</v>
      </c>
      <c r="Q419" s="4" t="s">
        <v>16</v>
      </c>
      <c r="R419" s="1" t="str" cm="1">
        <f t="array" ref="R41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19" s="1">
        <f>IFERROR(Table1[[#This Row],[Cholesterol]]/Table1[[#This Row],[Max_Heart_Rate]],"")</f>
        <v>1.3644067796610169</v>
      </c>
    </row>
    <row r="420" spans="1:19">
      <c r="A420" s="3" t="s">
        <v>440</v>
      </c>
      <c r="B420" s="3" t="str">
        <f>RIGHT(Table1[[#This Row],[Patient_ID]],4)</f>
        <v>1418</v>
      </c>
      <c r="C420" s="1">
        <v>35</v>
      </c>
      <c r="D420" s="1" t="str">
        <f>VLOOKUP(Table1[[#This Row],[Age]],'Lookup &amp; Reference'!$G$2:$H$5,2,1)</f>
        <v>Low</v>
      </c>
      <c r="E420" s="1" t="s">
        <v>18</v>
      </c>
      <c r="F420" s="1" t="str">
        <f>_xlfn.CONCAT(LEFT(Table1[[#This Row],[Gender]],1),Table1[[#This Row],[Age]])</f>
        <v>M35</v>
      </c>
      <c r="G420" s="1" t="s">
        <v>25</v>
      </c>
      <c r="H420" s="1">
        <f>LEN(Table1[[#This Row],[Chest_Pain_Type]])</f>
        <v>12</v>
      </c>
      <c r="I420" s="1">
        <v>135</v>
      </c>
      <c r="J420" s="1" t="str" cm="1">
        <f t="array" ref="J42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20" s="1">
        <v>151</v>
      </c>
      <c r="L420" s="1" t="s">
        <v>16</v>
      </c>
      <c r="M420" s="1" t="str">
        <f>IF(Table1[[#This Row],[Fasting_Blood_Sugar]]="Yes","Diabetic Risk","Normal")</f>
        <v>Diabetic Risk</v>
      </c>
      <c r="N420" s="1" t="s">
        <v>15</v>
      </c>
      <c r="O420" s="1">
        <v>122</v>
      </c>
      <c r="P420" s="1" t="s">
        <v>16</v>
      </c>
      <c r="Q420" s="4" t="s">
        <v>14</v>
      </c>
      <c r="R420" s="1" t="str" cm="1">
        <f t="array" ref="R42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20" s="1">
        <f>IFERROR(Table1[[#This Row],[Cholesterol]]/Table1[[#This Row],[Max_Heart_Rate]],"")</f>
        <v>1.2377049180327868</v>
      </c>
    </row>
    <row r="421" spans="1:19">
      <c r="A421" s="3" t="s">
        <v>441</v>
      </c>
      <c r="B421" s="3" t="str">
        <f>RIGHT(Table1[[#This Row],[Patient_ID]],4)</f>
        <v>1419</v>
      </c>
      <c r="C421" s="1">
        <v>64</v>
      </c>
      <c r="D421" s="1" t="str">
        <f>VLOOKUP(Table1[[#This Row],[Age]],'Lookup &amp; Reference'!$G$2:$H$5,2,1)</f>
        <v>High</v>
      </c>
      <c r="E421" s="1" t="s">
        <v>12</v>
      </c>
      <c r="F421" s="1" t="str">
        <f>_xlfn.CONCAT(LEFT(Table1[[#This Row],[Gender]],1),Table1[[#This Row],[Age]])</f>
        <v>F64</v>
      </c>
      <c r="G421" s="1" t="s">
        <v>19</v>
      </c>
      <c r="H421" s="1">
        <f>LEN(Table1[[#This Row],[Chest_Pain_Type]])</f>
        <v>14</v>
      </c>
      <c r="I421" s="1">
        <v>104</v>
      </c>
      <c r="J421" s="1" t="str" cm="1">
        <f t="array" ref="J42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21" s="1">
        <v>286</v>
      </c>
      <c r="L421" s="1" t="s">
        <v>14</v>
      </c>
      <c r="M421" s="1" t="str">
        <f>IF(Table1[[#This Row],[Fasting_Blood_Sugar]]="Yes","Diabetic Risk","Normal")</f>
        <v>Normal</v>
      </c>
      <c r="N421" s="1" t="s">
        <v>15</v>
      </c>
      <c r="O421" s="1">
        <v>149</v>
      </c>
      <c r="P421" s="1" t="s">
        <v>16</v>
      </c>
      <c r="Q421" s="4" t="s">
        <v>16</v>
      </c>
      <c r="R421" s="1" t="str" cm="1">
        <f t="array" ref="R42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21" s="1">
        <f>IFERROR(Table1[[#This Row],[Cholesterol]]/Table1[[#This Row],[Max_Heart_Rate]],"")</f>
        <v>1.919463087248322</v>
      </c>
    </row>
    <row r="422" spans="1:19">
      <c r="A422" s="3" t="s">
        <v>442</v>
      </c>
      <c r="B422" s="3" t="str">
        <f>RIGHT(Table1[[#This Row],[Patient_ID]],4)</f>
        <v>1420</v>
      </c>
      <c r="C422" s="1">
        <v>73</v>
      </c>
      <c r="D422" s="1" t="str">
        <f>VLOOKUP(Table1[[#This Row],[Age]],'Lookup &amp; Reference'!$G$2:$H$5,2,1)</f>
        <v>High</v>
      </c>
      <c r="E422" s="1" t="s">
        <v>18</v>
      </c>
      <c r="F422" s="1" t="str">
        <f>_xlfn.CONCAT(LEFT(Table1[[#This Row],[Gender]],1),Table1[[#This Row],[Age]])</f>
        <v>M73</v>
      </c>
      <c r="G422" s="1" t="s">
        <v>25</v>
      </c>
      <c r="H422" s="1">
        <f>LEN(Table1[[#This Row],[Chest_Pain_Type]])</f>
        <v>12</v>
      </c>
      <c r="I422" s="1">
        <v>114</v>
      </c>
      <c r="J422" s="1" t="str" cm="1">
        <f t="array" ref="J42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22" s="1">
        <v>228</v>
      </c>
      <c r="L422" s="1" t="s">
        <v>16</v>
      </c>
      <c r="M422" s="1" t="str">
        <f>IF(Table1[[#This Row],[Fasting_Blood_Sugar]]="Yes","Diabetic Risk","Normal")</f>
        <v>Diabetic Risk</v>
      </c>
      <c r="N422" s="1" t="s">
        <v>15</v>
      </c>
      <c r="O422" s="1">
        <v>180</v>
      </c>
      <c r="P422" s="1" t="s">
        <v>16</v>
      </c>
      <c r="Q422" s="4" t="s">
        <v>16</v>
      </c>
      <c r="R422" s="1" t="str" cm="1">
        <f t="array" ref="R42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22" s="1">
        <f>IFERROR(Table1[[#This Row],[Cholesterol]]/Table1[[#This Row],[Max_Heart_Rate]],"")</f>
        <v>1.2666666666666666</v>
      </c>
    </row>
    <row r="423" spans="1:19">
      <c r="A423" s="3" t="s">
        <v>443</v>
      </c>
      <c r="B423" s="3" t="str">
        <f>RIGHT(Table1[[#This Row],[Patient_ID]],4)</f>
        <v>1421</v>
      </c>
      <c r="C423" s="1">
        <v>48</v>
      </c>
      <c r="D423" s="1" t="str">
        <f>VLOOKUP(Table1[[#This Row],[Age]],'Lookup &amp; Reference'!$G$2:$H$5,2,1)</f>
        <v>Medium</v>
      </c>
      <c r="E423" s="1" t="s">
        <v>18</v>
      </c>
      <c r="F423" s="1" t="str">
        <f>_xlfn.CONCAT(LEFT(Table1[[#This Row],[Gender]],1),Table1[[#This Row],[Age]])</f>
        <v>M48</v>
      </c>
      <c r="G423" s="1" t="s">
        <v>22</v>
      </c>
      <c r="H423" s="1">
        <f>LEN(Table1[[#This Row],[Chest_Pain_Type]])</f>
        <v>15</v>
      </c>
      <c r="I423" s="1">
        <v>183</v>
      </c>
      <c r="J423" s="1" t="str" cm="1">
        <f t="array" ref="J42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23" s="1">
        <v>155</v>
      </c>
      <c r="L423" s="1" t="s">
        <v>16</v>
      </c>
      <c r="M423" s="1" t="str">
        <f>IF(Table1[[#This Row],[Fasting_Blood_Sugar]]="Yes","Diabetic Risk","Normal")</f>
        <v>Diabetic Risk</v>
      </c>
      <c r="N423" s="1" t="s">
        <v>15</v>
      </c>
      <c r="O423" s="1">
        <v>178</v>
      </c>
      <c r="P423" s="1" t="s">
        <v>14</v>
      </c>
      <c r="Q423" s="4" t="s">
        <v>16</v>
      </c>
      <c r="R423" s="1" t="str" cm="1">
        <f t="array" ref="R42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23" s="1">
        <f>IFERROR(Table1[[#This Row],[Cholesterol]]/Table1[[#This Row],[Max_Heart_Rate]],"")</f>
        <v>0.8707865168539326</v>
      </c>
    </row>
    <row r="424" spans="1:19">
      <c r="A424" s="3" t="s">
        <v>444</v>
      </c>
      <c r="B424" s="3" t="str">
        <f>RIGHT(Table1[[#This Row],[Patient_ID]],4)</f>
        <v>1422</v>
      </c>
      <c r="C424" s="1">
        <v>29</v>
      </c>
      <c r="D424" s="1" t="e">
        <f>VLOOKUP(Table1[[#This Row],[Age]],'Lookup &amp; Reference'!$G$2:$H$5,2,1)</f>
        <v>#N/A</v>
      </c>
      <c r="E424" s="1" t="s">
        <v>18</v>
      </c>
      <c r="F424" s="1" t="str">
        <f>_xlfn.CONCAT(LEFT(Table1[[#This Row],[Gender]],1),Table1[[#This Row],[Age]])</f>
        <v>M29</v>
      </c>
      <c r="G424" s="1" t="s">
        <v>22</v>
      </c>
      <c r="H424" s="1">
        <f>LEN(Table1[[#This Row],[Chest_Pain_Type]])</f>
        <v>15</v>
      </c>
      <c r="I424" s="1">
        <v>167</v>
      </c>
      <c r="J424" s="1" t="str" cm="1">
        <f t="array" ref="J42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24" s="1">
        <v>348</v>
      </c>
      <c r="L424" s="1" t="s">
        <v>14</v>
      </c>
      <c r="M424" s="1" t="str">
        <f>IF(Table1[[#This Row],[Fasting_Blood_Sugar]]="Yes","Diabetic Risk","Normal")</f>
        <v>Normal</v>
      </c>
      <c r="N424" s="1" t="s">
        <v>15</v>
      </c>
      <c r="O424" s="1">
        <v>209</v>
      </c>
      <c r="P424" s="1" t="s">
        <v>14</v>
      </c>
      <c r="Q424" s="4" t="s">
        <v>14</v>
      </c>
      <c r="R424" s="1" t="str" cm="1">
        <f t="array" ref="R42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24" s="1">
        <f>IFERROR(Table1[[#This Row],[Cholesterol]]/Table1[[#This Row],[Max_Heart_Rate]],"")</f>
        <v>1.6650717703349283</v>
      </c>
    </row>
    <row r="425" spans="1:19">
      <c r="A425" s="3" t="s">
        <v>445</v>
      </c>
      <c r="B425" s="3" t="str">
        <f>RIGHT(Table1[[#This Row],[Patient_ID]],4)</f>
        <v>1423</v>
      </c>
      <c r="C425" s="1">
        <v>36</v>
      </c>
      <c r="D425" s="1" t="str">
        <f>VLOOKUP(Table1[[#This Row],[Age]],'Lookup &amp; Reference'!$G$2:$H$5,2,1)</f>
        <v>Low</v>
      </c>
      <c r="E425" s="1" t="s">
        <v>12</v>
      </c>
      <c r="F425" s="1" t="str">
        <f>_xlfn.CONCAT(LEFT(Table1[[#This Row],[Gender]],1),Table1[[#This Row],[Age]])</f>
        <v>F36</v>
      </c>
      <c r="G425" s="1" t="s">
        <v>19</v>
      </c>
      <c r="H425" s="1">
        <f>LEN(Table1[[#This Row],[Chest_Pain_Type]])</f>
        <v>14</v>
      </c>
      <c r="I425" s="1">
        <v>160</v>
      </c>
      <c r="J425" s="1" t="str" cm="1">
        <f t="array" ref="J42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25" s="1">
        <v>216</v>
      </c>
      <c r="L425" s="1" t="s">
        <v>16</v>
      </c>
      <c r="M425" s="1" t="str">
        <f>IF(Table1[[#This Row],[Fasting_Blood_Sugar]]="Yes","Diabetic Risk","Normal")</f>
        <v>Diabetic Risk</v>
      </c>
      <c r="N425" s="1" t="s">
        <v>27</v>
      </c>
      <c r="O425" s="1">
        <v>144</v>
      </c>
      <c r="P425" s="1" t="s">
        <v>14</v>
      </c>
      <c r="Q425" s="4" t="s">
        <v>16</v>
      </c>
      <c r="R425" s="1" t="str" cm="1">
        <f t="array" ref="R42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25" s="1">
        <f>IFERROR(Table1[[#This Row],[Cholesterol]]/Table1[[#This Row],[Max_Heart_Rate]],"")</f>
        <v>1.5</v>
      </c>
    </row>
    <row r="426" spans="1:19">
      <c r="A426" s="3" t="s">
        <v>446</v>
      </c>
      <c r="B426" s="3" t="str">
        <f>RIGHT(Table1[[#This Row],[Patient_ID]],4)</f>
        <v>1424</v>
      </c>
      <c r="C426" s="1">
        <v>74</v>
      </c>
      <c r="D426" s="1" t="str">
        <f>VLOOKUP(Table1[[#This Row],[Age]],'Lookup &amp; Reference'!$G$2:$H$5,2,1)</f>
        <v>High</v>
      </c>
      <c r="E426" s="1" t="s">
        <v>12</v>
      </c>
      <c r="F426" s="1" t="str">
        <f>_xlfn.CONCAT(LEFT(Table1[[#This Row],[Gender]],1),Table1[[#This Row],[Age]])</f>
        <v>F74</v>
      </c>
      <c r="G426" s="1" t="s">
        <v>13</v>
      </c>
      <c r="H426" s="1">
        <f>LEN(Table1[[#This Row],[Chest_Pain_Type]])</f>
        <v>11</v>
      </c>
      <c r="I426" s="1">
        <v>106</v>
      </c>
      <c r="J426" s="1" t="str" cm="1">
        <f t="array" ref="J42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26" s="1">
        <v>283</v>
      </c>
      <c r="L426" s="1" t="s">
        <v>14</v>
      </c>
      <c r="M426" s="1" t="str">
        <f>IF(Table1[[#This Row],[Fasting_Blood_Sugar]]="Yes","Diabetic Risk","Normal")</f>
        <v>Normal</v>
      </c>
      <c r="N426" s="1" t="s">
        <v>20</v>
      </c>
      <c r="O426" s="1">
        <v>99</v>
      </c>
      <c r="P426" s="1" t="s">
        <v>16</v>
      </c>
      <c r="Q426" s="4" t="s">
        <v>16</v>
      </c>
      <c r="R426" s="1" t="str" cm="1">
        <f t="array" ref="R42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26" s="1">
        <f>IFERROR(Table1[[#This Row],[Cholesterol]]/Table1[[#This Row],[Max_Heart_Rate]],"")</f>
        <v>2.8585858585858586</v>
      </c>
    </row>
    <row r="427" spans="1:19">
      <c r="A427" s="3" t="s">
        <v>447</v>
      </c>
      <c r="B427" s="3" t="str">
        <f>RIGHT(Table1[[#This Row],[Patient_ID]],4)</f>
        <v>1425</v>
      </c>
      <c r="C427" s="1">
        <v>44</v>
      </c>
      <c r="D427" s="1" t="str">
        <f>VLOOKUP(Table1[[#This Row],[Age]],'Lookup &amp; Reference'!$G$2:$H$5,2,1)</f>
        <v>Low</v>
      </c>
      <c r="E427" s="1" t="s">
        <v>12</v>
      </c>
      <c r="F427" s="1" t="str">
        <f>_xlfn.CONCAT(LEFT(Table1[[#This Row],[Gender]],1),Table1[[#This Row],[Age]])</f>
        <v>F44</v>
      </c>
      <c r="G427" s="1" t="s">
        <v>19</v>
      </c>
      <c r="H427" s="1">
        <f>LEN(Table1[[#This Row],[Chest_Pain_Type]])</f>
        <v>14</v>
      </c>
      <c r="I427" s="1">
        <v>173</v>
      </c>
      <c r="J427" s="1" t="str" cm="1">
        <f t="array" ref="J42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27" s="1">
        <v>250</v>
      </c>
      <c r="L427" s="1" t="s">
        <v>16</v>
      </c>
      <c r="M427" s="1" t="str">
        <f>IF(Table1[[#This Row],[Fasting_Blood_Sugar]]="Yes","Diabetic Risk","Normal")</f>
        <v>Diabetic Risk</v>
      </c>
      <c r="N427" s="1" t="s">
        <v>27</v>
      </c>
      <c r="O427" s="1">
        <v>136</v>
      </c>
      <c r="P427" s="1" t="s">
        <v>14</v>
      </c>
      <c r="Q427" s="4" t="s">
        <v>14</v>
      </c>
      <c r="R427" s="1" t="str" cm="1">
        <f t="array" ref="R42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27" s="1">
        <f>IFERROR(Table1[[#This Row],[Cholesterol]]/Table1[[#This Row],[Max_Heart_Rate]],"")</f>
        <v>1.838235294117647</v>
      </c>
    </row>
    <row r="428" spans="1:19">
      <c r="A428" s="3" t="s">
        <v>448</v>
      </c>
      <c r="B428" s="3" t="str">
        <f>RIGHT(Table1[[#This Row],[Patient_ID]],4)</f>
        <v>1426</v>
      </c>
      <c r="C428" s="1">
        <v>42</v>
      </c>
      <c r="D428" s="1" t="str">
        <f>VLOOKUP(Table1[[#This Row],[Age]],'Lookup &amp; Reference'!$G$2:$H$5,2,1)</f>
        <v>Low</v>
      </c>
      <c r="E428" s="1" t="s">
        <v>12</v>
      </c>
      <c r="F428" s="1" t="str">
        <f>_xlfn.CONCAT(LEFT(Table1[[#This Row],[Gender]],1),Table1[[#This Row],[Age]])</f>
        <v>F42</v>
      </c>
      <c r="G428" s="1" t="s">
        <v>25</v>
      </c>
      <c r="H428" s="1">
        <f>LEN(Table1[[#This Row],[Chest_Pain_Type]])</f>
        <v>12</v>
      </c>
      <c r="I428" s="1">
        <v>189</v>
      </c>
      <c r="J428" s="1" t="str" cm="1">
        <f t="array" ref="J42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28" s="1">
        <v>192</v>
      </c>
      <c r="L428" s="1" t="s">
        <v>16</v>
      </c>
      <c r="M428" s="1" t="str">
        <f>IF(Table1[[#This Row],[Fasting_Blood_Sugar]]="Yes","Diabetic Risk","Normal")</f>
        <v>Diabetic Risk</v>
      </c>
      <c r="N428" s="1" t="s">
        <v>15</v>
      </c>
      <c r="O428" s="1">
        <v>112</v>
      </c>
      <c r="P428" s="1" t="s">
        <v>16</v>
      </c>
      <c r="Q428" s="4" t="s">
        <v>16</v>
      </c>
      <c r="R428" s="1" t="str" cm="1">
        <f t="array" ref="R42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28" s="1">
        <f>IFERROR(Table1[[#This Row],[Cholesterol]]/Table1[[#This Row],[Max_Heart_Rate]],"")</f>
        <v>1.7142857142857142</v>
      </c>
    </row>
    <row r="429" spans="1:19">
      <c r="A429" s="3" t="s">
        <v>449</v>
      </c>
      <c r="B429" s="3" t="str">
        <f>RIGHT(Table1[[#This Row],[Patient_ID]],4)</f>
        <v>1427</v>
      </c>
      <c r="C429" s="1">
        <v>40</v>
      </c>
      <c r="D429" s="1" t="str">
        <f>VLOOKUP(Table1[[#This Row],[Age]],'Lookup &amp; Reference'!$G$2:$H$5,2,1)</f>
        <v>Low</v>
      </c>
      <c r="E429" s="1" t="s">
        <v>18</v>
      </c>
      <c r="F429" s="1" t="str">
        <f>_xlfn.CONCAT(LEFT(Table1[[#This Row],[Gender]],1),Table1[[#This Row],[Age]])</f>
        <v>M40</v>
      </c>
      <c r="G429" s="1" t="s">
        <v>13</v>
      </c>
      <c r="H429" s="1">
        <f>LEN(Table1[[#This Row],[Chest_Pain_Type]])</f>
        <v>11</v>
      </c>
      <c r="I429" s="1">
        <v>98</v>
      </c>
      <c r="J429" s="1" t="str" cm="1">
        <f t="array" ref="J42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29" s="1">
        <v>255</v>
      </c>
      <c r="L429" s="1" t="s">
        <v>16</v>
      </c>
      <c r="M429" s="1" t="str">
        <f>IF(Table1[[#This Row],[Fasting_Blood_Sugar]]="Yes","Diabetic Risk","Normal")</f>
        <v>Diabetic Risk</v>
      </c>
      <c r="N429" s="1" t="s">
        <v>15</v>
      </c>
      <c r="O429" s="1">
        <v>174</v>
      </c>
      <c r="P429" s="1" t="s">
        <v>14</v>
      </c>
      <c r="Q429" s="4" t="s">
        <v>14</v>
      </c>
      <c r="R429" s="1" t="str" cm="1">
        <f t="array" ref="R42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29" s="1">
        <f>IFERROR(Table1[[#This Row],[Cholesterol]]/Table1[[#This Row],[Max_Heart_Rate]],"")</f>
        <v>1.4655172413793103</v>
      </c>
    </row>
    <row r="430" spans="1:19">
      <c r="A430" s="3" t="s">
        <v>450</v>
      </c>
      <c r="B430" s="3" t="str">
        <f>RIGHT(Table1[[#This Row],[Patient_ID]],4)</f>
        <v>1428</v>
      </c>
      <c r="C430" s="1">
        <v>79</v>
      </c>
      <c r="D430" s="1" t="str">
        <f>VLOOKUP(Table1[[#This Row],[Age]],'Lookup &amp; Reference'!$G$2:$H$5,2,1)</f>
        <v>High</v>
      </c>
      <c r="E430" s="1" t="s">
        <v>12</v>
      </c>
      <c r="F430" s="1" t="str">
        <f>_xlfn.CONCAT(LEFT(Table1[[#This Row],[Gender]],1),Table1[[#This Row],[Age]])</f>
        <v>F79</v>
      </c>
      <c r="G430" s="1" t="s">
        <v>22</v>
      </c>
      <c r="H430" s="1">
        <f>LEN(Table1[[#This Row],[Chest_Pain_Type]])</f>
        <v>15</v>
      </c>
      <c r="I430" s="1">
        <v>127</v>
      </c>
      <c r="J430" s="1" t="str" cm="1">
        <f t="array" ref="J43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30" s="1">
        <v>216</v>
      </c>
      <c r="L430" s="1" t="s">
        <v>14</v>
      </c>
      <c r="M430" s="1" t="str">
        <f>IF(Table1[[#This Row],[Fasting_Blood_Sugar]]="Yes","Diabetic Risk","Normal")</f>
        <v>Normal</v>
      </c>
      <c r="N430" s="1" t="s">
        <v>15</v>
      </c>
      <c r="O430" s="1">
        <v>110</v>
      </c>
      <c r="P430" s="1" t="s">
        <v>16</v>
      </c>
      <c r="Q430" s="4" t="s">
        <v>14</v>
      </c>
      <c r="R430" s="1" t="str" cm="1">
        <f t="array" ref="R43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30" s="1">
        <f>IFERROR(Table1[[#This Row],[Cholesterol]]/Table1[[#This Row],[Max_Heart_Rate]],"")</f>
        <v>1.9636363636363636</v>
      </c>
    </row>
    <row r="431" spans="1:19">
      <c r="A431" s="3" t="s">
        <v>451</v>
      </c>
      <c r="B431" s="3" t="str">
        <f>RIGHT(Table1[[#This Row],[Patient_ID]],4)</f>
        <v>1429</v>
      </c>
      <c r="C431" s="1">
        <v>51</v>
      </c>
      <c r="D431" s="1" t="str">
        <f>VLOOKUP(Table1[[#This Row],[Age]],'Lookup &amp; Reference'!$G$2:$H$5,2,1)</f>
        <v>Medium</v>
      </c>
      <c r="E431" s="1" t="s">
        <v>12</v>
      </c>
      <c r="F431" s="1" t="str">
        <f>_xlfn.CONCAT(LEFT(Table1[[#This Row],[Gender]],1),Table1[[#This Row],[Age]])</f>
        <v>F51</v>
      </c>
      <c r="G431" s="1" t="s">
        <v>13</v>
      </c>
      <c r="H431" s="1">
        <f>LEN(Table1[[#This Row],[Chest_Pain_Type]])</f>
        <v>11</v>
      </c>
      <c r="I431" s="1">
        <v>137</v>
      </c>
      <c r="J431" s="1" t="str" cm="1">
        <f t="array" ref="J43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31" s="1">
        <v>242</v>
      </c>
      <c r="L431" s="1" t="s">
        <v>14</v>
      </c>
      <c r="M431" s="1" t="str">
        <f>IF(Table1[[#This Row],[Fasting_Blood_Sugar]]="Yes","Diabetic Risk","Normal")</f>
        <v>Normal</v>
      </c>
      <c r="N431" s="1" t="s">
        <v>15</v>
      </c>
      <c r="O431" s="1">
        <v>196</v>
      </c>
      <c r="P431" s="1" t="s">
        <v>16</v>
      </c>
      <c r="Q431" s="4" t="s">
        <v>14</v>
      </c>
      <c r="R431" s="1" t="str" cm="1">
        <f t="array" ref="R43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31" s="1">
        <f>IFERROR(Table1[[#This Row],[Cholesterol]]/Table1[[#This Row],[Max_Heart_Rate]],"")</f>
        <v>1.2346938775510203</v>
      </c>
    </row>
    <row r="432" spans="1:19">
      <c r="A432" s="3" t="s">
        <v>452</v>
      </c>
      <c r="B432" s="3" t="str">
        <f>RIGHT(Table1[[#This Row],[Patient_ID]],4)</f>
        <v>1430</v>
      </c>
      <c r="C432" s="1">
        <v>43</v>
      </c>
      <c r="D432" s="1" t="str">
        <f>VLOOKUP(Table1[[#This Row],[Age]],'Lookup &amp; Reference'!$G$2:$H$5,2,1)</f>
        <v>Low</v>
      </c>
      <c r="E432" s="1" t="s">
        <v>18</v>
      </c>
      <c r="F432" s="1" t="str">
        <f>_xlfn.CONCAT(LEFT(Table1[[#This Row],[Gender]],1),Table1[[#This Row],[Age]])</f>
        <v>M43</v>
      </c>
      <c r="G432" s="1" t="s">
        <v>22</v>
      </c>
      <c r="H432" s="1">
        <f>LEN(Table1[[#This Row],[Chest_Pain_Type]])</f>
        <v>15</v>
      </c>
      <c r="I432" s="1">
        <v>149</v>
      </c>
      <c r="J432" s="1" t="str" cm="1">
        <f t="array" ref="J43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32" s="1">
        <v>189</v>
      </c>
      <c r="L432" s="1" t="s">
        <v>16</v>
      </c>
      <c r="M432" s="1" t="str">
        <f>IF(Table1[[#This Row],[Fasting_Blood_Sugar]]="Yes","Diabetic Risk","Normal")</f>
        <v>Diabetic Risk</v>
      </c>
      <c r="N432" s="1" t="s">
        <v>20</v>
      </c>
      <c r="O432" s="1">
        <v>102</v>
      </c>
      <c r="P432" s="1" t="s">
        <v>16</v>
      </c>
      <c r="Q432" s="4" t="s">
        <v>14</v>
      </c>
      <c r="R432" s="1" t="str" cm="1">
        <f t="array" ref="R43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32" s="1">
        <f>IFERROR(Table1[[#This Row],[Cholesterol]]/Table1[[#This Row],[Max_Heart_Rate]],"")</f>
        <v>1.8529411764705883</v>
      </c>
    </row>
    <row r="433" spans="1:19">
      <c r="A433" s="3" t="s">
        <v>453</v>
      </c>
      <c r="B433" s="3" t="str">
        <f>RIGHT(Table1[[#This Row],[Patient_ID]],4)</f>
        <v>1431</v>
      </c>
      <c r="C433" s="1">
        <v>56</v>
      </c>
      <c r="D433" s="1" t="str">
        <f>VLOOKUP(Table1[[#This Row],[Age]],'Lookup &amp; Reference'!$G$2:$H$5,2,1)</f>
        <v>Medium</v>
      </c>
      <c r="E433" s="1" t="s">
        <v>18</v>
      </c>
      <c r="F433" s="1" t="str">
        <f>_xlfn.CONCAT(LEFT(Table1[[#This Row],[Gender]],1),Table1[[#This Row],[Age]])</f>
        <v>M56</v>
      </c>
      <c r="G433" s="1" t="s">
        <v>13</v>
      </c>
      <c r="H433" s="1">
        <f>LEN(Table1[[#This Row],[Chest_Pain_Type]])</f>
        <v>11</v>
      </c>
      <c r="I433" s="1">
        <v>152</v>
      </c>
      <c r="J433" s="1" t="str" cm="1">
        <f t="array" ref="J43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33" s="1">
        <v>288</v>
      </c>
      <c r="L433" s="1" t="s">
        <v>16</v>
      </c>
      <c r="M433" s="1" t="str">
        <f>IF(Table1[[#This Row],[Fasting_Blood_Sugar]]="Yes","Diabetic Risk","Normal")</f>
        <v>Diabetic Risk</v>
      </c>
      <c r="N433" s="1" t="s">
        <v>15</v>
      </c>
      <c r="O433" s="1">
        <v>190</v>
      </c>
      <c r="P433" s="1" t="s">
        <v>14</v>
      </c>
      <c r="Q433" s="4" t="s">
        <v>16</v>
      </c>
      <c r="R433" s="1" t="str" cm="1">
        <f t="array" ref="R43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33" s="1">
        <f>IFERROR(Table1[[#This Row],[Cholesterol]]/Table1[[#This Row],[Max_Heart_Rate]],"")</f>
        <v>1.5157894736842106</v>
      </c>
    </row>
    <row r="434" spans="1:19">
      <c r="A434" s="3" t="s">
        <v>454</v>
      </c>
      <c r="B434" s="3" t="str">
        <f>RIGHT(Table1[[#This Row],[Patient_ID]],4)</f>
        <v>1432</v>
      </c>
      <c r="C434" s="1">
        <v>62</v>
      </c>
      <c r="D434" s="1" t="str">
        <f>VLOOKUP(Table1[[#This Row],[Age]],'Lookup &amp; Reference'!$G$2:$H$5,2,1)</f>
        <v>High</v>
      </c>
      <c r="E434" s="1" t="s">
        <v>18</v>
      </c>
      <c r="F434" s="1" t="str">
        <f>_xlfn.CONCAT(LEFT(Table1[[#This Row],[Gender]],1),Table1[[#This Row],[Age]])</f>
        <v>M62</v>
      </c>
      <c r="G434" s="1" t="s">
        <v>13</v>
      </c>
      <c r="H434" s="1">
        <f>LEN(Table1[[#This Row],[Chest_Pain_Type]])</f>
        <v>11</v>
      </c>
      <c r="I434" s="1">
        <v>175</v>
      </c>
      <c r="J434" s="1" t="str" cm="1">
        <f t="array" ref="J43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34" s="1">
        <v>315</v>
      </c>
      <c r="L434" s="1" t="s">
        <v>14</v>
      </c>
      <c r="M434" s="1" t="str">
        <f>IF(Table1[[#This Row],[Fasting_Blood_Sugar]]="Yes","Diabetic Risk","Normal")</f>
        <v>Normal</v>
      </c>
      <c r="N434" s="1" t="s">
        <v>20</v>
      </c>
      <c r="O434" s="1">
        <v>122</v>
      </c>
      <c r="P434" s="1" t="s">
        <v>14</v>
      </c>
      <c r="Q434" s="4" t="s">
        <v>16</v>
      </c>
      <c r="R434" s="1" t="str" cm="1">
        <f t="array" ref="R43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34" s="1">
        <f>IFERROR(Table1[[#This Row],[Cholesterol]]/Table1[[#This Row],[Max_Heart_Rate]],"")</f>
        <v>2.581967213114754</v>
      </c>
    </row>
    <row r="435" spans="1:19">
      <c r="A435" s="3" t="s">
        <v>455</v>
      </c>
      <c r="B435" s="3" t="str">
        <f>RIGHT(Table1[[#This Row],[Patient_ID]],4)</f>
        <v>1433</v>
      </c>
      <c r="C435" s="1">
        <v>30</v>
      </c>
      <c r="D435" s="1" t="str">
        <f>VLOOKUP(Table1[[#This Row],[Age]],'Lookup &amp; Reference'!$G$2:$H$5,2,1)</f>
        <v>Low</v>
      </c>
      <c r="E435" s="1" t="s">
        <v>12</v>
      </c>
      <c r="F435" s="1" t="str">
        <f>_xlfn.CONCAT(LEFT(Table1[[#This Row],[Gender]],1),Table1[[#This Row],[Age]])</f>
        <v>F30</v>
      </c>
      <c r="G435" s="1" t="s">
        <v>13</v>
      </c>
      <c r="H435" s="1">
        <f>LEN(Table1[[#This Row],[Chest_Pain_Type]])</f>
        <v>11</v>
      </c>
      <c r="I435" s="1">
        <v>91</v>
      </c>
      <c r="J435" s="1" t="str" cm="1">
        <f t="array" ref="J43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35" s="1">
        <v>132</v>
      </c>
      <c r="L435" s="1" t="s">
        <v>14</v>
      </c>
      <c r="M435" s="1" t="str">
        <f>IF(Table1[[#This Row],[Fasting_Blood_Sugar]]="Yes","Diabetic Risk","Normal")</f>
        <v>Normal</v>
      </c>
      <c r="N435" s="1" t="s">
        <v>15</v>
      </c>
      <c r="O435" s="1">
        <v>113</v>
      </c>
      <c r="P435" s="1" t="s">
        <v>14</v>
      </c>
      <c r="Q435" s="4" t="s">
        <v>16</v>
      </c>
      <c r="R435" s="1" t="str" cm="1">
        <f t="array" ref="R43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35" s="1">
        <f>IFERROR(Table1[[#This Row],[Cholesterol]]/Table1[[#This Row],[Max_Heart_Rate]],"")</f>
        <v>1.168141592920354</v>
      </c>
    </row>
    <row r="436" spans="1:19">
      <c r="A436" s="3" t="s">
        <v>456</v>
      </c>
      <c r="B436" s="3" t="str">
        <f>RIGHT(Table1[[#This Row],[Patient_ID]],4)</f>
        <v>1434</v>
      </c>
      <c r="C436" s="1">
        <v>60</v>
      </c>
      <c r="D436" s="1" t="str">
        <f>VLOOKUP(Table1[[#This Row],[Age]],'Lookup &amp; Reference'!$G$2:$H$5,2,1)</f>
        <v>High</v>
      </c>
      <c r="E436" s="1" t="s">
        <v>18</v>
      </c>
      <c r="F436" s="1" t="str">
        <f>_xlfn.CONCAT(LEFT(Table1[[#This Row],[Gender]],1),Table1[[#This Row],[Age]])</f>
        <v>M60</v>
      </c>
      <c r="G436" s="1" t="s">
        <v>25</v>
      </c>
      <c r="H436" s="1">
        <f>LEN(Table1[[#This Row],[Chest_Pain_Type]])</f>
        <v>12</v>
      </c>
      <c r="I436" s="1">
        <v>177</v>
      </c>
      <c r="J436" s="1" t="str" cm="1">
        <f t="array" ref="J43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36" s="1">
        <v>168</v>
      </c>
      <c r="L436" s="1" t="s">
        <v>16</v>
      </c>
      <c r="M436" s="1" t="str">
        <f>IF(Table1[[#This Row],[Fasting_Blood_Sugar]]="Yes","Diabetic Risk","Normal")</f>
        <v>Diabetic Risk</v>
      </c>
      <c r="N436" s="1" t="s">
        <v>20</v>
      </c>
      <c r="O436" s="1">
        <v>197</v>
      </c>
      <c r="P436" s="1" t="s">
        <v>16</v>
      </c>
      <c r="Q436" s="4" t="s">
        <v>16</v>
      </c>
      <c r="R436" s="1" t="str" cm="1">
        <f t="array" ref="R43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36" s="1">
        <f>IFERROR(Table1[[#This Row],[Cholesterol]]/Table1[[#This Row],[Max_Heart_Rate]],"")</f>
        <v>0.85279187817258884</v>
      </c>
    </row>
    <row r="437" spans="1:19">
      <c r="A437" s="3" t="s">
        <v>457</v>
      </c>
      <c r="B437" s="3" t="str">
        <f>RIGHT(Table1[[#This Row],[Patient_ID]],4)</f>
        <v>1435</v>
      </c>
      <c r="C437" s="1">
        <v>51</v>
      </c>
      <c r="D437" s="1" t="str">
        <f>VLOOKUP(Table1[[#This Row],[Age]],'Lookup &amp; Reference'!$G$2:$H$5,2,1)</f>
        <v>Medium</v>
      </c>
      <c r="E437" s="1" t="s">
        <v>18</v>
      </c>
      <c r="F437" s="1" t="str">
        <f>_xlfn.CONCAT(LEFT(Table1[[#This Row],[Gender]],1),Table1[[#This Row],[Age]])</f>
        <v>M51</v>
      </c>
      <c r="G437" s="1" t="s">
        <v>25</v>
      </c>
      <c r="H437" s="1">
        <f>LEN(Table1[[#This Row],[Chest_Pain_Type]])</f>
        <v>12</v>
      </c>
      <c r="I437" s="1">
        <v>161</v>
      </c>
      <c r="J437" s="1" t="str" cm="1">
        <f t="array" ref="J43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37" s="1">
        <v>179</v>
      </c>
      <c r="L437" s="1" t="s">
        <v>16</v>
      </c>
      <c r="M437" s="1" t="str">
        <f>IF(Table1[[#This Row],[Fasting_Blood_Sugar]]="Yes","Diabetic Risk","Normal")</f>
        <v>Diabetic Risk</v>
      </c>
      <c r="N437" s="1" t="s">
        <v>27</v>
      </c>
      <c r="O437" s="1">
        <v>100</v>
      </c>
      <c r="P437" s="1" t="s">
        <v>16</v>
      </c>
      <c r="Q437" s="4" t="s">
        <v>16</v>
      </c>
      <c r="R437" s="1" t="str" cm="1">
        <f t="array" ref="R43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37" s="1">
        <f>IFERROR(Table1[[#This Row],[Cholesterol]]/Table1[[#This Row],[Max_Heart_Rate]],"")</f>
        <v>1.79</v>
      </c>
    </row>
    <row r="438" spans="1:19">
      <c r="A438" s="3" t="s">
        <v>458</v>
      </c>
      <c r="B438" s="3" t="str">
        <f>RIGHT(Table1[[#This Row],[Patient_ID]],4)</f>
        <v>1436</v>
      </c>
      <c r="C438" s="1">
        <v>50</v>
      </c>
      <c r="D438" s="1" t="str">
        <f>VLOOKUP(Table1[[#This Row],[Age]],'Lookup &amp; Reference'!$G$2:$H$5,2,1)</f>
        <v>Medium</v>
      </c>
      <c r="E438" s="1" t="s">
        <v>18</v>
      </c>
      <c r="F438" s="1" t="str">
        <f>_xlfn.CONCAT(LEFT(Table1[[#This Row],[Gender]],1),Table1[[#This Row],[Age]])</f>
        <v>M50</v>
      </c>
      <c r="G438" s="1" t="s">
        <v>19</v>
      </c>
      <c r="H438" s="1">
        <f>LEN(Table1[[#This Row],[Chest_Pain_Type]])</f>
        <v>14</v>
      </c>
      <c r="I438" s="1">
        <v>100</v>
      </c>
      <c r="J438" s="1" t="str" cm="1">
        <f t="array" ref="J43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38" s="1">
        <v>249</v>
      </c>
      <c r="L438" s="1" t="s">
        <v>14</v>
      </c>
      <c r="M438" s="1" t="str">
        <f>IF(Table1[[#This Row],[Fasting_Blood_Sugar]]="Yes","Diabetic Risk","Normal")</f>
        <v>Normal</v>
      </c>
      <c r="N438" s="1" t="s">
        <v>15</v>
      </c>
      <c r="O438" s="1">
        <v>106</v>
      </c>
      <c r="P438" s="1" t="s">
        <v>14</v>
      </c>
      <c r="Q438" s="4" t="s">
        <v>14</v>
      </c>
      <c r="R438" s="1" t="str" cm="1">
        <f t="array" ref="R43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38" s="1">
        <f>IFERROR(Table1[[#This Row],[Cholesterol]]/Table1[[#This Row],[Max_Heart_Rate]],"")</f>
        <v>2.3490566037735849</v>
      </c>
    </row>
    <row r="439" spans="1:19">
      <c r="A439" s="3" t="s">
        <v>459</v>
      </c>
      <c r="B439" s="3" t="str">
        <f>RIGHT(Table1[[#This Row],[Patient_ID]],4)</f>
        <v>1437</v>
      </c>
      <c r="C439" s="1">
        <v>79</v>
      </c>
      <c r="D439" s="1" t="str">
        <f>VLOOKUP(Table1[[#This Row],[Age]],'Lookup &amp; Reference'!$G$2:$H$5,2,1)</f>
        <v>High</v>
      </c>
      <c r="E439" s="1" t="s">
        <v>12</v>
      </c>
      <c r="F439" s="1" t="str">
        <f>_xlfn.CONCAT(LEFT(Table1[[#This Row],[Gender]],1),Table1[[#This Row],[Age]])</f>
        <v>F79</v>
      </c>
      <c r="G439" s="1" t="s">
        <v>19</v>
      </c>
      <c r="H439" s="1">
        <f>LEN(Table1[[#This Row],[Chest_Pain_Type]])</f>
        <v>14</v>
      </c>
      <c r="I439" s="1">
        <v>153</v>
      </c>
      <c r="J439" s="1" t="str" cm="1">
        <f t="array" ref="J43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39" s="1">
        <v>307</v>
      </c>
      <c r="L439" s="1" t="s">
        <v>14</v>
      </c>
      <c r="M439" s="1" t="str">
        <f>IF(Table1[[#This Row],[Fasting_Blood_Sugar]]="Yes","Diabetic Risk","Normal")</f>
        <v>Normal</v>
      </c>
      <c r="N439" s="1" t="s">
        <v>20</v>
      </c>
      <c r="O439" s="1">
        <v>157</v>
      </c>
      <c r="P439" s="1" t="s">
        <v>14</v>
      </c>
      <c r="Q439" s="4" t="s">
        <v>16</v>
      </c>
      <c r="R439" s="1" t="str" cm="1">
        <f t="array" ref="R43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39" s="1">
        <f>IFERROR(Table1[[#This Row],[Cholesterol]]/Table1[[#This Row],[Max_Heart_Rate]],"")</f>
        <v>1.9554140127388535</v>
      </c>
    </row>
    <row r="440" spans="1:19">
      <c r="A440" s="3" t="s">
        <v>460</v>
      </c>
      <c r="B440" s="3" t="str">
        <f>RIGHT(Table1[[#This Row],[Patient_ID]],4)</f>
        <v>1438</v>
      </c>
      <c r="C440" s="1">
        <v>53</v>
      </c>
      <c r="D440" s="1" t="str">
        <f>VLOOKUP(Table1[[#This Row],[Age]],'Lookup &amp; Reference'!$G$2:$H$5,2,1)</f>
        <v>Medium</v>
      </c>
      <c r="E440" s="1" t="s">
        <v>18</v>
      </c>
      <c r="F440" s="1" t="str">
        <f>_xlfn.CONCAT(LEFT(Table1[[#This Row],[Gender]],1),Table1[[#This Row],[Age]])</f>
        <v>M53</v>
      </c>
      <c r="G440" s="1" t="s">
        <v>22</v>
      </c>
      <c r="H440" s="1">
        <f>LEN(Table1[[#This Row],[Chest_Pain_Type]])</f>
        <v>15</v>
      </c>
      <c r="I440" s="1">
        <v>166</v>
      </c>
      <c r="J440" s="1" t="str" cm="1">
        <f t="array" ref="J44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40" s="1">
        <v>124</v>
      </c>
      <c r="L440" s="1" t="s">
        <v>14</v>
      </c>
      <c r="M440" s="1" t="str">
        <f>IF(Table1[[#This Row],[Fasting_Blood_Sugar]]="Yes","Diabetic Risk","Normal")</f>
        <v>Normal</v>
      </c>
      <c r="N440" s="1" t="s">
        <v>27</v>
      </c>
      <c r="O440" s="1">
        <v>136</v>
      </c>
      <c r="P440" s="1" t="s">
        <v>14</v>
      </c>
      <c r="Q440" s="4" t="s">
        <v>16</v>
      </c>
      <c r="R440" s="1" t="str" cm="1">
        <f t="array" ref="R44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40" s="1">
        <f>IFERROR(Table1[[#This Row],[Cholesterol]]/Table1[[#This Row],[Max_Heart_Rate]],"")</f>
        <v>0.91176470588235292</v>
      </c>
    </row>
    <row r="441" spans="1:19">
      <c r="A441" s="3" t="s">
        <v>461</v>
      </c>
      <c r="B441" s="3" t="str">
        <f>RIGHT(Table1[[#This Row],[Patient_ID]],4)</f>
        <v>1439</v>
      </c>
      <c r="C441" s="1">
        <v>50</v>
      </c>
      <c r="D441" s="1" t="str">
        <f>VLOOKUP(Table1[[#This Row],[Age]],'Lookup &amp; Reference'!$G$2:$H$5,2,1)</f>
        <v>Medium</v>
      </c>
      <c r="E441" s="1" t="s">
        <v>12</v>
      </c>
      <c r="F441" s="1" t="str">
        <f>_xlfn.CONCAT(LEFT(Table1[[#This Row],[Gender]],1),Table1[[#This Row],[Age]])</f>
        <v>F50</v>
      </c>
      <c r="G441" s="1" t="s">
        <v>25</v>
      </c>
      <c r="H441" s="1">
        <f>LEN(Table1[[#This Row],[Chest_Pain_Type]])</f>
        <v>12</v>
      </c>
      <c r="I441" s="1">
        <v>170</v>
      </c>
      <c r="J441" s="1" t="str" cm="1">
        <f t="array" ref="J44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41" s="1">
        <v>291</v>
      </c>
      <c r="L441" s="1" t="s">
        <v>14</v>
      </c>
      <c r="M441" s="1" t="str">
        <f>IF(Table1[[#This Row],[Fasting_Blood_Sugar]]="Yes","Diabetic Risk","Normal")</f>
        <v>Normal</v>
      </c>
      <c r="N441" s="1" t="s">
        <v>15</v>
      </c>
      <c r="O441" s="1">
        <v>114</v>
      </c>
      <c r="P441" s="1" t="s">
        <v>16</v>
      </c>
      <c r="Q441" s="4" t="s">
        <v>16</v>
      </c>
      <c r="R441" s="1" t="str" cm="1">
        <f t="array" ref="R44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41" s="1">
        <f>IFERROR(Table1[[#This Row],[Cholesterol]]/Table1[[#This Row],[Max_Heart_Rate]],"")</f>
        <v>2.5526315789473686</v>
      </c>
    </row>
    <row r="442" spans="1:19">
      <c r="A442" s="3" t="s">
        <v>462</v>
      </c>
      <c r="B442" s="3" t="str">
        <f>RIGHT(Table1[[#This Row],[Patient_ID]],4)</f>
        <v>1440</v>
      </c>
      <c r="C442" s="1">
        <v>50</v>
      </c>
      <c r="D442" s="1" t="str">
        <f>VLOOKUP(Table1[[#This Row],[Age]],'Lookup &amp; Reference'!$G$2:$H$5,2,1)</f>
        <v>Medium</v>
      </c>
      <c r="E442" s="1" t="s">
        <v>12</v>
      </c>
      <c r="F442" s="1" t="str">
        <f>_xlfn.CONCAT(LEFT(Table1[[#This Row],[Gender]],1),Table1[[#This Row],[Age]])</f>
        <v>F50</v>
      </c>
      <c r="G442" s="1" t="s">
        <v>22</v>
      </c>
      <c r="H442" s="1">
        <f>LEN(Table1[[#This Row],[Chest_Pain_Type]])</f>
        <v>15</v>
      </c>
      <c r="I442" s="1">
        <v>161</v>
      </c>
      <c r="J442" s="1" t="str" cm="1">
        <f t="array" ref="J44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42" s="1">
        <v>146</v>
      </c>
      <c r="L442" s="1" t="s">
        <v>14</v>
      </c>
      <c r="M442" s="1" t="str">
        <f>IF(Table1[[#This Row],[Fasting_Blood_Sugar]]="Yes","Diabetic Risk","Normal")</f>
        <v>Normal</v>
      </c>
      <c r="N442" s="1" t="s">
        <v>15</v>
      </c>
      <c r="O442" s="1">
        <v>183</v>
      </c>
      <c r="P442" s="1" t="s">
        <v>16</v>
      </c>
      <c r="Q442" s="4" t="s">
        <v>14</v>
      </c>
      <c r="R442" s="1" t="str" cm="1">
        <f t="array" ref="R44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42" s="1">
        <f>IFERROR(Table1[[#This Row],[Cholesterol]]/Table1[[#This Row],[Max_Heart_Rate]],"")</f>
        <v>0.79781420765027322</v>
      </c>
    </row>
    <row r="443" spans="1:19">
      <c r="A443" s="3" t="s">
        <v>463</v>
      </c>
      <c r="B443" s="3" t="str">
        <f>RIGHT(Table1[[#This Row],[Patient_ID]],4)</f>
        <v>1441</v>
      </c>
      <c r="C443" s="1">
        <v>77</v>
      </c>
      <c r="D443" s="1" t="str">
        <f>VLOOKUP(Table1[[#This Row],[Age]],'Lookup &amp; Reference'!$G$2:$H$5,2,1)</f>
        <v>High</v>
      </c>
      <c r="E443" s="1" t="s">
        <v>18</v>
      </c>
      <c r="F443" s="1" t="str">
        <f>_xlfn.CONCAT(LEFT(Table1[[#This Row],[Gender]],1),Table1[[#This Row],[Age]])</f>
        <v>M77</v>
      </c>
      <c r="G443" s="1" t="s">
        <v>19</v>
      </c>
      <c r="H443" s="1">
        <f>LEN(Table1[[#This Row],[Chest_Pain_Type]])</f>
        <v>14</v>
      </c>
      <c r="I443" s="1">
        <v>110</v>
      </c>
      <c r="J443" s="1" t="str" cm="1">
        <f t="array" ref="J44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43" s="1">
        <v>279</v>
      </c>
      <c r="L443" s="1" t="s">
        <v>16</v>
      </c>
      <c r="M443" s="1" t="str">
        <f>IF(Table1[[#This Row],[Fasting_Blood_Sugar]]="Yes","Diabetic Risk","Normal")</f>
        <v>Diabetic Risk</v>
      </c>
      <c r="N443" s="1" t="s">
        <v>15</v>
      </c>
      <c r="O443" s="1">
        <v>162</v>
      </c>
      <c r="P443" s="1" t="s">
        <v>16</v>
      </c>
      <c r="Q443" s="4" t="s">
        <v>14</v>
      </c>
      <c r="R443" s="1" t="str" cm="1">
        <f t="array" ref="R44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43" s="1">
        <f>IFERROR(Table1[[#This Row],[Cholesterol]]/Table1[[#This Row],[Max_Heart_Rate]],"")</f>
        <v>1.7222222222222223</v>
      </c>
    </row>
    <row r="444" spans="1:19">
      <c r="A444" s="3" t="s">
        <v>464</v>
      </c>
      <c r="B444" s="3" t="str">
        <f>RIGHT(Table1[[#This Row],[Patient_ID]],4)</f>
        <v>1442</v>
      </c>
      <c r="C444" s="1">
        <v>70</v>
      </c>
      <c r="D444" s="1" t="str">
        <f>VLOOKUP(Table1[[#This Row],[Age]],'Lookup &amp; Reference'!$G$2:$H$5,2,1)</f>
        <v>High</v>
      </c>
      <c r="E444" s="1" t="s">
        <v>18</v>
      </c>
      <c r="F444" s="1" t="str">
        <f>_xlfn.CONCAT(LEFT(Table1[[#This Row],[Gender]],1),Table1[[#This Row],[Age]])</f>
        <v>M70</v>
      </c>
      <c r="G444" s="1" t="s">
        <v>22</v>
      </c>
      <c r="H444" s="1">
        <f>LEN(Table1[[#This Row],[Chest_Pain_Type]])</f>
        <v>15</v>
      </c>
      <c r="I444" s="1">
        <v>107</v>
      </c>
      <c r="J444" s="1" t="str" cm="1">
        <f t="array" ref="J44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44" s="1">
        <v>268</v>
      </c>
      <c r="L444" s="1" t="s">
        <v>14</v>
      </c>
      <c r="M444" s="1" t="str">
        <f>IF(Table1[[#This Row],[Fasting_Blood_Sugar]]="Yes","Diabetic Risk","Normal")</f>
        <v>Normal</v>
      </c>
      <c r="N444" s="1" t="s">
        <v>20</v>
      </c>
      <c r="O444" s="1">
        <v>110</v>
      </c>
      <c r="P444" s="1" t="s">
        <v>16</v>
      </c>
      <c r="Q444" s="4" t="s">
        <v>16</v>
      </c>
      <c r="R444" s="1" t="str" cm="1">
        <f t="array" ref="R44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44" s="1">
        <f>IFERROR(Table1[[#This Row],[Cholesterol]]/Table1[[#This Row],[Max_Heart_Rate]],"")</f>
        <v>2.4363636363636365</v>
      </c>
    </row>
    <row r="445" spans="1:19">
      <c r="A445" s="3" t="s">
        <v>465</v>
      </c>
      <c r="B445" s="3" t="str">
        <f>RIGHT(Table1[[#This Row],[Patient_ID]],4)</f>
        <v>1443</v>
      </c>
      <c r="C445" s="1">
        <v>34</v>
      </c>
      <c r="D445" s="1" t="str">
        <f>VLOOKUP(Table1[[#This Row],[Age]],'Lookup &amp; Reference'!$G$2:$H$5,2,1)</f>
        <v>Low</v>
      </c>
      <c r="E445" s="1" t="s">
        <v>12</v>
      </c>
      <c r="F445" s="1" t="str">
        <f>_xlfn.CONCAT(LEFT(Table1[[#This Row],[Gender]],1),Table1[[#This Row],[Age]])</f>
        <v>F34</v>
      </c>
      <c r="G445" s="1" t="s">
        <v>19</v>
      </c>
      <c r="H445" s="1">
        <f>LEN(Table1[[#This Row],[Chest_Pain_Type]])</f>
        <v>14</v>
      </c>
      <c r="I445" s="1">
        <v>183</v>
      </c>
      <c r="J445" s="1" t="str" cm="1">
        <f t="array" ref="J44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45" s="1">
        <v>127</v>
      </c>
      <c r="L445" s="1" t="s">
        <v>16</v>
      </c>
      <c r="M445" s="1" t="str">
        <f>IF(Table1[[#This Row],[Fasting_Blood_Sugar]]="Yes","Diabetic Risk","Normal")</f>
        <v>Diabetic Risk</v>
      </c>
      <c r="N445" s="1" t="s">
        <v>20</v>
      </c>
      <c r="O445" s="1">
        <v>173</v>
      </c>
      <c r="P445" s="1" t="s">
        <v>16</v>
      </c>
      <c r="Q445" s="4" t="s">
        <v>14</v>
      </c>
      <c r="R445" s="1" t="str" cm="1">
        <f t="array" ref="R44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45" s="1">
        <f>IFERROR(Table1[[#This Row],[Cholesterol]]/Table1[[#This Row],[Max_Heart_Rate]],"")</f>
        <v>0.73410404624277459</v>
      </c>
    </row>
    <row r="446" spans="1:19">
      <c r="A446" s="3" t="s">
        <v>466</v>
      </c>
      <c r="B446" s="3" t="str">
        <f>RIGHT(Table1[[#This Row],[Patient_ID]],4)</f>
        <v>1444</v>
      </c>
      <c r="C446" s="1">
        <v>43</v>
      </c>
      <c r="D446" s="1" t="str">
        <f>VLOOKUP(Table1[[#This Row],[Age]],'Lookup &amp; Reference'!$G$2:$H$5,2,1)</f>
        <v>Low</v>
      </c>
      <c r="E446" s="1" t="s">
        <v>18</v>
      </c>
      <c r="F446" s="1" t="str">
        <f>_xlfn.CONCAT(LEFT(Table1[[#This Row],[Gender]],1),Table1[[#This Row],[Age]])</f>
        <v>M43</v>
      </c>
      <c r="G446" s="1" t="s">
        <v>25</v>
      </c>
      <c r="H446" s="1">
        <f>LEN(Table1[[#This Row],[Chest_Pain_Type]])</f>
        <v>12</v>
      </c>
      <c r="I446" s="1">
        <v>153</v>
      </c>
      <c r="J446" s="1" t="str" cm="1">
        <f t="array" ref="J44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46" s="1">
        <v>349</v>
      </c>
      <c r="L446" s="1" t="s">
        <v>14</v>
      </c>
      <c r="M446" s="1" t="str">
        <f>IF(Table1[[#This Row],[Fasting_Blood_Sugar]]="Yes","Diabetic Risk","Normal")</f>
        <v>Normal</v>
      </c>
      <c r="N446" s="1" t="s">
        <v>27</v>
      </c>
      <c r="O446" s="1">
        <v>172</v>
      </c>
      <c r="P446" s="1" t="s">
        <v>14</v>
      </c>
      <c r="Q446" s="4" t="s">
        <v>16</v>
      </c>
      <c r="R446" s="1" t="str" cm="1">
        <f t="array" ref="R44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46" s="1">
        <f>IFERROR(Table1[[#This Row],[Cholesterol]]/Table1[[#This Row],[Max_Heart_Rate]],"")</f>
        <v>2.0290697674418605</v>
      </c>
    </row>
    <row r="447" spans="1:19">
      <c r="A447" s="3" t="s">
        <v>467</v>
      </c>
      <c r="B447" s="3" t="str">
        <f>RIGHT(Table1[[#This Row],[Patient_ID]],4)</f>
        <v>1445</v>
      </c>
      <c r="C447" s="1">
        <v>71</v>
      </c>
      <c r="D447" s="1" t="str">
        <f>VLOOKUP(Table1[[#This Row],[Age]],'Lookup &amp; Reference'!$G$2:$H$5,2,1)</f>
        <v>High</v>
      </c>
      <c r="E447" s="1" t="s">
        <v>18</v>
      </c>
      <c r="F447" s="1" t="str">
        <f>_xlfn.CONCAT(LEFT(Table1[[#This Row],[Gender]],1),Table1[[#This Row],[Age]])</f>
        <v>M71</v>
      </c>
      <c r="G447" s="1" t="s">
        <v>13</v>
      </c>
      <c r="H447" s="1">
        <f>LEN(Table1[[#This Row],[Chest_Pain_Type]])</f>
        <v>11</v>
      </c>
      <c r="I447" s="1">
        <v>171</v>
      </c>
      <c r="J447" s="1" t="str" cm="1">
        <f t="array" ref="J44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47" s="1">
        <v>319</v>
      </c>
      <c r="L447" s="1" t="s">
        <v>16</v>
      </c>
      <c r="M447" s="1" t="str">
        <f>IF(Table1[[#This Row],[Fasting_Blood_Sugar]]="Yes","Diabetic Risk","Normal")</f>
        <v>Diabetic Risk</v>
      </c>
      <c r="N447" s="1" t="s">
        <v>20</v>
      </c>
      <c r="O447" s="1">
        <v>172</v>
      </c>
      <c r="P447" s="1" t="s">
        <v>16</v>
      </c>
      <c r="Q447" s="4" t="s">
        <v>16</v>
      </c>
      <c r="R447" s="1" t="str" cm="1">
        <f t="array" ref="R44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47" s="1">
        <f>IFERROR(Table1[[#This Row],[Cholesterol]]/Table1[[#This Row],[Max_Heart_Rate]],"")</f>
        <v>1.8546511627906976</v>
      </c>
    </row>
    <row r="448" spans="1:19">
      <c r="A448" s="3" t="s">
        <v>468</v>
      </c>
      <c r="B448" s="3" t="str">
        <f>RIGHT(Table1[[#This Row],[Patient_ID]],4)</f>
        <v>1446</v>
      </c>
      <c r="C448" s="1">
        <v>65</v>
      </c>
      <c r="D448" s="1" t="str">
        <f>VLOOKUP(Table1[[#This Row],[Age]],'Lookup &amp; Reference'!$G$2:$H$5,2,1)</f>
        <v>High</v>
      </c>
      <c r="E448" s="1" t="s">
        <v>12</v>
      </c>
      <c r="F448" s="1" t="str">
        <f>_xlfn.CONCAT(LEFT(Table1[[#This Row],[Gender]],1),Table1[[#This Row],[Age]])</f>
        <v>F65</v>
      </c>
      <c r="G448" s="1" t="s">
        <v>25</v>
      </c>
      <c r="H448" s="1">
        <f>LEN(Table1[[#This Row],[Chest_Pain_Type]])</f>
        <v>12</v>
      </c>
      <c r="I448" s="1">
        <v>184</v>
      </c>
      <c r="J448" s="1" t="str" cm="1">
        <f t="array" ref="J44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48" s="1">
        <v>169</v>
      </c>
      <c r="L448" s="1" t="s">
        <v>14</v>
      </c>
      <c r="M448" s="1" t="str">
        <f>IF(Table1[[#This Row],[Fasting_Blood_Sugar]]="Yes","Diabetic Risk","Normal")</f>
        <v>Normal</v>
      </c>
      <c r="N448" s="1" t="s">
        <v>20</v>
      </c>
      <c r="O448" s="1">
        <v>101</v>
      </c>
      <c r="P448" s="1" t="s">
        <v>16</v>
      </c>
      <c r="Q448" s="4" t="s">
        <v>14</v>
      </c>
      <c r="R448" s="1" t="str" cm="1">
        <f t="array" ref="R44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48" s="1">
        <f>IFERROR(Table1[[#This Row],[Cholesterol]]/Table1[[#This Row],[Max_Heart_Rate]],"")</f>
        <v>1.6732673267326732</v>
      </c>
    </row>
    <row r="449" spans="1:19">
      <c r="A449" s="3" t="s">
        <v>469</v>
      </c>
      <c r="B449" s="3" t="str">
        <f>RIGHT(Table1[[#This Row],[Patient_ID]],4)</f>
        <v>1447</v>
      </c>
      <c r="C449" s="1">
        <v>61</v>
      </c>
      <c r="D449" s="1" t="str">
        <f>VLOOKUP(Table1[[#This Row],[Age]],'Lookup &amp; Reference'!$G$2:$H$5,2,1)</f>
        <v>High</v>
      </c>
      <c r="E449" s="1" t="s">
        <v>12</v>
      </c>
      <c r="F449" s="1" t="str">
        <f>_xlfn.CONCAT(LEFT(Table1[[#This Row],[Gender]],1),Table1[[#This Row],[Age]])</f>
        <v>F61</v>
      </c>
      <c r="G449" s="1" t="s">
        <v>22</v>
      </c>
      <c r="H449" s="1">
        <f>LEN(Table1[[#This Row],[Chest_Pain_Type]])</f>
        <v>15</v>
      </c>
      <c r="I449" s="1">
        <v>127</v>
      </c>
      <c r="J449" s="1" t="str" cm="1">
        <f t="array" ref="J44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49" s="1">
        <v>186</v>
      </c>
      <c r="L449" s="1" t="s">
        <v>14</v>
      </c>
      <c r="M449" s="1" t="str">
        <f>IF(Table1[[#This Row],[Fasting_Blood_Sugar]]="Yes","Diabetic Risk","Normal")</f>
        <v>Normal</v>
      </c>
      <c r="N449" s="1" t="s">
        <v>15</v>
      </c>
      <c r="O449" s="1">
        <v>126</v>
      </c>
      <c r="P449" s="1" t="s">
        <v>16</v>
      </c>
      <c r="Q449" s="4" t="s">
        <v>14</v>
      </c>
      <c r="R449" s="1" t="str" cm="1">
        <f t="array" ref="R44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49" s="1">
        <f>IFERROR(Table1[[#This Row],[Cholesterol]]/Table1[[#This Row],[Max_Heart_Rate]],"")</f>
        <v>1.4761904761904763</v>
      </c>
    </row>
    <row r="450" spans="1:19">
      <c r="A450" s="3" t="s">
        <v>470</v>
      </c>
      <c r="B450" s="3" t="str">
        <f>RIGHT(Table1[[#This Row],[Patient_ID]],4)</f>
        <v>1448</v>
      </c>
      <c r="C450" s="1">
        <v>36</v>
      </c>
      <c r="D450" s="1" t="str">
        <f>VLOOKUP(Table1[[#This Row],[Age]],'Lookup &amp; Reference'!$G$2:$H$5,2,1)</f>
        <v>Low</v>
      </c>
      <c r="E450" s="1" t="s">
        <v>18</v>
      </c>
      <c r="F450" s="1" t="str">
        <f>_xlfn.CONCAT(LEFT(Table1[[#This Row],[Gender]],1),Table1[[#This Row],[Age]])</f>
        <v>M36</v>
      </c>
      <c r="G450" s="1" t="s">
        <v>22</v>
      </c>
      <c r="H450" s="1">
        <f>LEN(Table1[[#This Row],[Chest_Pain_Type]])</f>
        <v>15</v>
      </c>
      <c r="I450" s="1">
        <v>121</v>
      </c>
      <c r="J450" s="1" t="str" cm="1">
        <f t="array" ref="J45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50" s="1">
        <v>163</v>
      </c>
      <c r="L450" s="1" t="s">
        <v>16</v>
      </c>
      <c r="M450" s="1" t="str">
        <f>IF(Table1[[#This Row],[Fasting_Blood_Sugar]]="Yes","Diabetic Risk","Normal")</f>
        <v>Diabetic Risk</v>
      </c>
      <c r="N450" s="1" t="s">
        <v>15</v>
      </c>
      <c r="O450" s="1">
        <v>131</v>
      </c>
      <c r="P450" s="1" t="s">
        <v>16</v>
      </c>
      <c r="Q450" s="4" t="s">
        <v>16</v>
      </c>
      <c r="R450" s="1" t="str" cm="1">
        <f t="array" ref="R45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0" s="1">
        <f>IFERROR(Table1[[#This Row],[Cholesterol]]/Table1[[#This Row],[Max_Heart_Rate]],"")</f>
        <v>1.2442748091603053</v>
      </c>
    </row>
    <row r="451" spans="1:19">
      <c r="A451" s="3" t="s">
        <v>471</v>
      </c>
      <c r="B451" s="3" t="str">
        <f>RIGHT(Table1[[#This Row],[Patient_ID]],4)</f>
        <v>1449</v>
      </c>
      <c r="C451" s="1">
        <v>72</v>
      </c>
      <c r="D451" s="1" t="str">
        <f>VLOOKUP(Table1[[#This Row],[Age]],'Lookup &amp; Reference'!$G$2:$H$5,2,1)</f>
        <v>High</v>
      </c>
      <c r="E451" s="1" t="s">
        <v>12</v>
      </c>
      <c r="F451" s="1" t="str">
        <f>_xlfn.CONCAT(LEFT(Table1[[#This Row],[Gender]],1),Table1[[#This Row],[Age]])</f>
        <v>F72</v>
      </c>
      <c r="G451" s="1" t="s">
        <v>25</v>
      </c>
      <c r="H451" s="1">
        <f>LEN(Table1[[#This Row],[Chest_Pain_Type]])</f>
        <v>12</v>
      </c>
      <c r="I451" s="1">
        <v>100</v>
      </c>
      <c r="J451" s="1" t="str" cm="1">
        <f t="array" ref="J45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51" s="1">
        <v>244</v>
      </c>
      <c r="L451" s="1" t="s">
        <v>16</v>
      </c>
      <c r="M451" s="1" t="str">
        <f>IF(Table1[[#This Row],[Fasting_Blood_Sugar]]="Yes","Diabetic Risk","Normal")</f>
        <v>Diabetic Risk</v>
      </c>
      <c r="N451" s="1" t="s">
        <v>15</v>
      </c>
      <c r="O451" s="1">
        <v>106</v>
      </c>
      <c r="P451" s="1" t="s">
        <v>16</v>
      </c>
      <c r="Q451" s="4" t="s">
        <v>16</v>
      </c>
      <c r="R451" s="1" t="str" cm="1">
        <f t="array" ref="R45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51" s="1">
        <f>IFERROR(Table1[[#This Row],[Cholesterol]]/Table1[[#This Row],[Max_Heart_Rate]],"")</f>
        <v>2.3018867924528301</v>
      </c>
    </row>
    <row r="452" spans="1:19">
      <c r="A452" s="3" t="s">
        <v>472</v>
      </c>
      <c r="B452" s="3" t="str">
        <f>RIGHT(Table1[[#This Row],[Patient_ID]],4)</f>
        <v>1450</v>
      </c>
      <c r="C452" s="1">
        <v>72</v>
      </c>
      <c r="D452" s="1" t="str">
        <f>VLOOKUP(Table1[[#This Row],[Age]],'Lookup &amp; Reference'!$G$2:$H$5,2,1)</f>
        <v>High</v>
      </c>
      <c r="E452" s="1" t="s">
        <v>18</v>
      </c>
      <c r="F452" s="1" t="str">
        <f>_xlfn.CONCAT(LEFT(Table1[[#This Row],[Gender]],1),Table1[[#This Row],[Age]])</f>
        <v>M72</v>
      </c>
      <c r="G452" s="1" t="s">
        <v>25</v>
      </c>
      <c r="H452" s="1">
        <f>LEN(Table1[[#This Row],[Chest_Pain_Type]])</f>
        <v>12</v>
      </c>
      <c r="I452" s="1">
        <v>134</v>
      </c>
      <c r="J452" s="1" t="str" cm="1">
        <f t="array" ref="J45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52" s="1">
        <v>177</v>
      </c>
      <c r="L452" s="1" t="s">
        <v>14</v>
      </c>
      <c r="M452" s="1" t="str">
        <f>IF(Table1[[#This Row],[Fasting_Blood_Sugar]]="Yes","Diabetic Risk","Normal")</f>
        <v>Normal</v>
      </c>
      <c r="N452" s="1" t="s">
        <v>15</v>
      </c>
      <c r="O452" s="1">
        <v>190</v>
      </c>
      <c r="P452" s="1" t="s">
        <v>14</v>
      </c>
      <c r="Q452" s="4" t="s">
        <v>14</v>
      </c>
      <c r="R452" s="1" t="str" cm="1">
        <f t="array" ref="R45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2" s="1">
        <f>IFERROR(Table1[[#This Row],[Cholesterol]]/Table1[[#This Row],[Max_Heart_Rate]],"")</f>
        <v>0.93157894736842106</v>
      </c>
    </row>
    <row r="453" spans="1:19">
      <c r="A453" s="3" t="s">
        <v>473</v>
      </c>
      <c r="B453" s="3" t="str">
        <f>RIGHT(Table1[[#This Row],[Patient_ID]],4)</f>
        <v>1451</v>
      </c>
      <c r="C453" s="1">
        <v>33</v>
      </c>
      <c r="D453" s="1" t="str">
        <f>VLOOKUP(Table1[[#This Row],[Age]],'Lookup &amp; Reference'!$G$2:$H$5,2,1)</f>
        <v>Low</v>
      </c>
      <c r="E453" s="1" t="s">
        <v>18</v>
      </c>
      <c r="F453" s="1" t="str">
        <f>_xlfn.CONCAT(LEFT(Table1[[#This Row],[Gender]],1),Table1[[#This Row],[Age]])</f>
        <v>M33</v>
      </c>
      <c r="G453" s="1" t="s">
        <v>19</v>
      </c>
      <c r="H453" s="1">
        <f>LEN(Table1[[#This Row],[Chest_Pain_Type]])</f>
        <v>14</v>
      </c>
      <c r="I453" s="1">
        <v>178</v>
      </c>
      <c r="J453" s="1" t="str" cm="1">
        <f t="array" ref="J45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53" s="1">
        <v>122</v>
      </c>
      <c r="L453" s="1" t="s">
        <v>14</v>
      </c>
      <c r="M453" s="1" t="str">
        <f>IF(Table1[[#This Row],[Fasting_Blood_Sugar]]="Yes","Diabetic Risk","Normal")</f>
        <v>Normal</v>
      </c>
      <c r="N453" s="1" t="s">
        <v>15</v>
      </c>
      <c r="O453" s="1">
        <v>207</v>
      </c>
      <c r="P453" s="1" t="s">
        <v>16</v>
      </c>
      <c r="Q453" s="4" t="s">
        <v>16</v>
      </c>
      <c r="R453" s="1" t="str" cm="1">
        <f t="array" ref="R45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3" s="1">
        <f>IFERROR(Table1[[#This Row],[Cholesterol]]/Table1[[#This Row],[Max_Heart_Rate]],"")</f>
        <v>0.58937198067632846</v>
      </c>
    </row>
    <row r="454" spans="1:19">
      <c r="A454" s="3" t="s">
        <v>474</v>
      </c>
      <c r="B454" s="3" t="str">
        <f>RIGHT(Table1[[#This Row],[Patient_ID]],4)</f>
        <v>1452</v>
      </c>
      <c r="C454" s="1">
        <v>67</v>
      </c>
      <c r="D454" s="1" t="str">
        <f>VLOOKUP(Table1[[#This Row],[Age]],'Lookup &amp; Reference'!$G$2:$H$5,2,1)</f>
        <v>High</v>
      </c>
      <c r="E454" s="1" t="s">
        <v>18</v>
      </c>
      <c r="F454" s="1" t="str">
        <f>_xlfn.CONCAT(LEFT(Table1[[#This Row],[Gender]],1),Table1[[#This Row],[Age]])</f>
        <v>M67</v>
      </c>
      <c r="G454" s="1" t="s">
        <v>22</v>
      </c>
      <c r="H454" s="1">
        <f>LEN(Table1[[#This Row],[Chest_Pain_Type]])</f>
        <v>15</v>
      </c>
      <c r="I454" s="1">
        <v>122</v>
      </c>
      <c r="J454" s="1" t="str" cm="1">
        <f t="array" ref="J45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54" s="1">
        <v>205</v>
      </c>
      <c r="L454" s="1" t="s">
        <v>14</v>
      </c>
      <c r="M454" s="1" t="str">
        <f>IF(Table1[[#This Row],[Fasting_Blood_Sugar]]="Yes","Diabetic Risk","Normal")</f>
        <v>Normal</v>
      </c>
      <c r="N454" s="1" t="s">
        <v>15</v>
      </c>
      <c r="O454" s="1">
        <v>137</v>
      </c>
      <c r="P454" s="1" t="s">
        <v>16</v>
      </c>
      <c r="Q454" s="4" t="s">
        <v>14</v>
      </c>
      <c r="R454" s="1" t="str" cm="1">
        <f t="array" ref="R45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4" s="1">
        <f>IFERROR(Table1[[#This Row],[Cholesterol]]/Table1[[#This Row],[Max_Heart_Rate]],"")</f>
        <v>1.4963503649635037</v>
      </c>
    </row>
    <row r="455" spans="1:19">
      <c r="A455" s="3" t="s">
        <v>475</v>
      </c>
      <c r="B455" s="3" t="str">
        <f>RIGHT(Table1[[#This Row],[Patient_ID]],4)</f>
        <v>1453</v>
      </c>
      <c r="C455" s="1">
        <v>32</v>
      </c>
      <c r="D455" s="1" t="str">
        <f>VLOOKUP(Table1[[#This Row],[Age]],'Lookup &amp; Reference'!$G$2:$H$5,2,1)</f>
        <v>Low</v>
      </c>
      <c r="E455" s="1" t="s">
        <v>12</v>
      </c>
      <c r="F455" s="1" t="str">
        <f>_xlfn.CONCAT(LEFT(Table1[[#This Row],[Gender]],1),Table1[[#This Row],[Age]])</f>
        <v>F32</v>
      </c>
      <c r="G455" s="1" t="s">
        <v>22</v>
      </c>
      <c r="H455" s="1">
        <f>LEN(Table1[[#This Row],[Chest_Pain_Type]])</f>
        <v>15</v>
      </c>
      <c r="I455" s="1">
        <v>130</v>
      </c>
      <c r="J455" s="1" t="str" cm="1">
        <f t="array" ref="J45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55" s="1">
        <v>189</v>
      </c>
      <c r="L455" s="1" t="s">
        <v>14</v>
      </c>
      <c r="M455" s="1" t="str">
        <f>IF(Table1[[#This Row],[Fasting_Blood_Sugar]]="Yes","Diabetic Risk","Normal")</f>
        <v>Normal</v>
      </c>
      <c r="N455" s="1" t="s">
        <v>15</v>
      </c>
      <c r="O455" s="1">
        <v>192</v>
      </c>
      <c r="P455" s="1" t="s">
        <v>16</v>
      </c>
      <c r="Q455" s="4" t="s">
        <v>16</v>
      </c>
      <c r="R455" s="1" t="str" cm="1">
        <f t="array" ref="R45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5" s="1">
        <f>IFERROR(Table1[[#This Row],[Cholesterol]]/Table1[[#This Row],[Max_Heart_Rate]],"")</f>
        <v>0.984375</v>
      </c>
    </row>
    <row r="456" spans="1:19">
      <c r="A456" s="3" t="s">
        <v>476</v>
      </c>
      <c r="B456" s="3" t="str">
        <f>RIGHT(Table1[[#This Row],[Patient_ID]],4)</f>
        <v>1454</v>
      </c>
      <c r="C456" s="1">
        <v>34</v>
      </c>
      <c r="D456" s="1" t="str">
        <f>VLOOKUP(Table1[[#This Row],[Age]],'Lookup &amp; Reference'!$G$2:$H$5,2,1)</f>
        <v>Low</v>
      </c>
      <c r="E456" s="1" t="s">
        <v>18</v>
      </c>
      <c r="F456" s="1" t="str">
        <f>_xlfn.CONCAT(LEFT(Table1[[#This Row],[Gender]],1),Table1[[#This Row],[Age]])</f>
        <v>M34</v>
      </c>
      <c r="G456" s="1" t="s">
        <v>25</v>
      </c>
      <c r="H456" s="1">
        <f>LEN(Table1[[#This Row],[Chest_Pain_Type]])</f>
        <v>12</v>
      </c>
      <c r="I456" s="1">
        <v>97</v>
      </c>
      <c r="J456" s="1" t="str" cm="1">
        <f t="array" ref="J45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56" s="1">
        <v>249</v>
      </c>
      <c r="L456" s="1" t="s">
        <v>14</v>
      </c>
      <c r="M456" s="1" t="str">
        <f>IF(Table1[[#This Row],[Fasting_Blood_Sugar]]="Yes","Diabetic Risk","Normal")</f>
        <v>Normal</v>
      </c>
      <c r="N456" s="1" t="s">
        <v>27</v>
      </c>
      <c r="O456" s="1">
        <v>117</v>
      </c>
      <c r="P456" s="1" t="s">
        <v>14</v>
      </c>
      <c r="Q456" s="4" t="s">
        <v>14</v>
      </c>
      <c r="R456" s="1" t="str" cm="1">
        <f t="array" ref="R45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6" s="1">
        <f>IFERROR(Table1[[#This Row],[Cholesterol]]/Table1[[#This Row],[Max_Heart_Rate]],"")</f>
        <v>2.1282051282051282</v>
      </c>
    </row>
    <row r="457" spans="1:19">
      <c r="A457" s="3" t="s">
        <v>477</v>
      </c>
      <c r="B457" s="3" t="str">
        <f>RIGHT(Table1[[#This Row],[Patient_ID]],4)</f>
        <v>1455</v>
      </c>
      <c r="C457" s="1">
        <v>73</v>
      </c>
      <c r="D457" s="1" t="str">
        <f>VLOOKUP(Table1[[#This Row],[Age]],'Lookup &amp; Reference'!$G$2:$H$5,2,1)</f>
        <v>High</v>
      </c>
      <c r="E457" s="1" t="s">
        <v>18</v>
      </c>
      <c r="F457" s="1" t="str">
        <f>_xlfn.CONCAT(LEFT(Table1[[#This Row],[Gender]],1),Table1[[#This Row],[Age]])</f>
        <v>M73</v>
      </c>
      <c r="G457" s="1" t="s">
        <v>13</v>
      </c>
      <c r="H457" s="1">
        <f>LEN(Table1[[#This Row],[Chest_Pain_Type]])</f>
        <v>11</v>
      </c>
      <c r="I457" s="1">
        <v>100</v>
      </c>
      <c r="J457" s="1" t="str" cm="1">
        <f t="array" ref="J45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57" s="1">
        <v>334</v>
      </c>
      <c r="L457" s="1" t="s">
        <v>16</v>
      </c>
      <c r="M457" s="1" t="str">
        <f>IF(Table1[[#This Row],[Fasting_Blood_Sugar]]="Yes","Diabetic Risk","Normal")</f>
        <v>Diabetic Risk</v>
      </c>
      <c r="N457" s="1" t="s">
        <v>27</v>
      </c>
      <c r="O457" s="1">
        <v>130</v>
      </c>
      <c r="P457" s="1" t="s">
        <v>14</v>
      </c>
      <c r="Q457" s="4" t="s">
        <v>16</v>
      </c>
      <c r="R457" s="1" t="str" cm="1">
        <f t="array" ref="R45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57" s="1">
        <f>IFERROR(Table1[[#This Row],[Cholesterol]]/Table1[[#This Row],[Max_Heart_Rate]],"")</f>
        <v>2.5692307692307694</v>
      </c>
    </row>
    <row r="458" spans="1:19">
      <c r="A458" s="3" t="s">
        <v>478</v>
      </c>
      <c r="B458" s="3" t="str">
        <f>RIGHT(Table1[[#This Row],[Patient_ID]],4)</f>
        <v>1456</v>
      </c>
      <c r="C458" s="1">
        <v>60</v>
      </c>
      <c r="D458" s="1" t="str">
        <f>VLOOKUP(Table1[[#This Row],[Age]],'Lookup &amp; Reference'!$G$2:$H$5,2,1)</f>
        <v>High</v>
      </c>
      <c r="E458" s="1" t="s">
        <v>18</v>
      </c>
      <c r="F458" s="1" t="str">
        <f>_xlfn.CONCAT(LEFT(Table1[[#This Row],[Gender]],1),Table1[[#This Row],[Age]])</f>
        <v>M60</v>
      </c>
      <c r="G458" s="1" t="s">
        <v>22</v>
      </c>
      <c r="H458" s="1">
        <f>LEN(Table1[[#This Row],[Chest_Pain_Type]])</f>
        <v>15</v>
      </c>
      <c r="I458" s="1">
        <v>175</v>
      </c>
      <c r="J458" s="1" t="str" cm="1">
        <f t="array" ref="J45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58" s="1">
        <v>291</v>
      </c>
      <c r="L458" s="1" t="s">
        <v>16</v>
      </c>
      <c r="M458" s="1" t="str">
        <f>IF(Table1[[#This Row],[Fasting_Blood_Sugar]]="Yes","Diabetic Risk","Normal")</f>
        <v>Diabetic Risk</v>
      </c>
      <c r="N458" s="1" t="s">
        <v>27</v>
      </c>
      <c r="O458" s="1">
        <v>188</v>
      </c>
      <c r="P458" s="1" t="s">
        <v>14</v>
      </c>
      <c r="Q458" s="4" t="s">
        <v>16</v>
      </c>
      <c r="R458" s="1" t="str" cm="1">
        <f t="array" ref="R45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58" s="1">
        <f>IFERROR(Table1[[#This Row],[Cholesterol]]/Table1[[#This Row],[Max_Heart_Rate]],"")</f>
        <v>1.5478723404255319</v>
      </c>
    </row>
    <row r="459" spans="1:19">
      <c r="A459" s="3" t="s">
        <v>479</v>
      </c>
      <c r="B459" s="3" t="str">
        <f>RIGHT(Table1[[#This Row],[Patient_ID]],4)</f>
        <v>1457</v>
      </c>
      <c r="C459" s="1">
        <v>58</v>
      </c>
      <c r="D459" s="1" t="str">
        <f>VLOOKUP(Table1[[#This Row],[Age]],'Lookup &amp; Reference'!$G$2:$H$5,2,1)</f>
        <v>Medium</v>
      </c>
      <c r="E459" s="1" t="s">
        <v>12</v>
      </c>
      <c r="F459" s="1" t="str">
        <f>_xlfn.CONCAT(LEFT(Table1[[#This Row],[Gender]],1),Table1[[#This Row],[Age]])</f>
        <v>F58</v>
      </c>
      <c r="G459" s="1" t="s">
        <v>13</v>
      </c>
      <c r="H459" s="1">
        <f>LEN(Table1[[#This Row],[Chest_Pain_Type]])</f>
        <v>11</v>
      </c>
      <c r="I459" s="1">
        <v>140</v>
      </c>
      <c r="J459" s="1" t="str" cm="1">
        <f t="array" ref="J45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59" s="1">
        <v>121</v>
      </c>
      <c r="L459" s="1" t="s">
        <v>14</v>
      </c>
      <c r="M459" s="1" t="str">
        <f>IF(Table1[[#This Row],[Fasting_Blood_Sugar]]="Yes","Diabetic Risk","Normal")</f>
        <v>Normal</v>
      </c>
      <c r="N459" s="1" t="s">
        <v>27</v>
      </c>
      <c r="O459" s="1">
        <v>136</v>
      </c>
      <c r="P459" s="1" t="s">
        <v>16</v>
      </c>
      <c r="Q459" s="4" t="s">
        <v>14</v>
      </c>
      <c r="R459" s="1" t="str" cm="1">
        <f t="array" ref="R45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59" s="1">
        <f>IFERROR(Table1[[#This Row],[Cholesterol]]/Table1[[#This Row],[Max_Heart_Rate]],"")</f>
        <v>0.88970588235294112</v>
      </c>
    </row>
    <row r="460" spans="1:19">
      <c r="A460" s="3" t="s">
        <v>480</v>
      </c>
      <c r="B460" s="3" t="str">
        <f>RIGHT(Table1[[#This Row],[Patient_ID]],4)</f>
        <v>1458</v>
      </c>
      <c r="C460" s="1">
        <v>75</v>
      </c>
      <c r="D460" s="1" t="str">
        <f>VLOOKUP(Table1[[#This Row],[Age]],'Lookup &amp; Reference'!$G$2:$H$5,2,1)</f>
        <v>High</v>
      </c>
      <c r="E460" s="1" t="s">
        <v>12</v>
      </c>
      <c r="F460" s="1" t="str">
        <f>_xlfn.CONCAT(LEFT(Table1[[#This Row],[Gender]],1),Table1[[#This Row],[Age]])</f>
        <v>F75</v>
      </c>
      <c r="G460" s="1" t="s">
        <v>25</v>
      </c>
      <c r="H460" s="1">
        <f>LEN(Table1[[#This Row],[Chest_Pain_Type]])</f>
        <v>12</v>
      </c>
      <c r="I460" s="1">
        <v>177</v>
      </c>
      <c r="J460" s="1" t="str" cm="1">
        <f t="array" ref="J46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60" s="1">
        <v>221</v>
      </c>
      <c r="L460" s="1" t="s">
        <v>16</v>
      </c>
      <c r="M460" s="1" t="str">
        <f>IF(Table1[[#This Row],[Fasting_Blood_Sugar]]="Yes","Diabetic Risk","Normal")</f>
        <v>Diabetic Risk</v>
      </c>
      <c r="N460" s="1" t="s">
        <v>15</v>
      </c>
      <c r="O460" s="1">
        <v>201</v>
      </c>
      <c r="P460" s="1" t="s">
        <v>14</v>
      </c>
      <c r="Q460" s="4" t="s">
        <v>16</v>
      </c>
      <c r="R460" s="1" t="str" cm="1">
        <f t="array" ref="R46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60" s="1">
        <f>IFERROR(Table1[[#This Row],[Cholesterol]]/Table1[[#This Row],[Max_Heart_Rate]],"")</f>
        <v>1.099502487562189</v>
      </c>
    </row>
    <row r="461" spans="1:19">
      <c r="A461" s="3" t="s">
        <v>481</v>
      </c>
      <c r="B461" s="3" t="str">
        <f>RIGHT(Table1[[#This Row],[Patient_ID]],4)</f>
        <v>1459</v>
      </c>
      <c r="C461" s="1">
        <v>63</v>
      </c>
      <c r="D461" s="1" t="str">
        <f>VLOOKUP(Table1[[#This Row],[Age]],'Lookup &amp; Reference'!$G$2:$H$5,2,1)</f>
        <v>High</v>
      </c>
      <c r="E461" s="1" t="s">
        <v>12</v>
      </c>
      <c r="F461" s="1" t="str">
        <f>_xlfn.CONCAT(LEFT(Table1[[#This Row],[Gender]],1),Table1[[#This Row],[Age]])</f>
        <v>F63</v>
      </c>
      <c r="G461" s="1" t="s">
        <v>25</v>
      </c>
      <c r="H461" s="1">
        <f>LEN(Table1[[#This Row],[Chest_Pain_Type]])</f>
        <v>12</v>
      </c>
      <c r="I461" s="1">
        <v>130</v>
      </c>
      <c r="J461" s="1" t="str" cm="1">
        <f t="array" ref="J46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61" s="1">
        <v>328</v>
      </c>
      <c r="L461" s="1" t="s">
        <v>16</v>
      </c>
      <c r="M461" s="1" t="str">
        <f>IF(Table1[[#This Row],[Fasting_Blood_Sugar]]="Yes","Diabetic Risk","Normal")</f>
        <v>Diabetic Risk</v>
      </c>
      <c r="N461" s="1" t="s">
        <v>27</v>
      </c>
      <c r="O461" s="1">
        <v>107</v>
      </c>
      <c r="P461" s="1" t="s">
        <v>16</v>
      </c>
      <c r="Q461" s="4" t="s">
        <v>16</v>
      </c>
      <c r="R461" s="1" t="str" cm="1">
        <f t="array" ref="R46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61" s="1">
        <f>IFERROR(Table1[[#This Row],[Cholesterol]]/Table1[[#This Row],[Max_Heart_Rate]],"")</f>
        <v>3.0654205607476634</v>
      </c>
    </row>
    <row r="462" spans="1:19">
      <c r="A462" s="3" t="s">
        <v>482</v>
      </c>
      <c r="B462" s="3" t="str">
        <f>RIGHT(Table1[[#This Row],[Patient_ID]],4)</f>
        <v>1460</v>
      </c>
      <c r="C462" s="1">
        <v>68</v>
      </c>
      <c r="D462" s="1" t="str">
        <f>VLOOKUP(Table1[[#This Row],[Age]],'Lookup &amp; Reference'!$G$2:$H$5,2,1)</f>
        <v>High</v>
      </c>
      <c r="E462" s="1" t="s">
        <v>12</v>
      </c>
      <c r="F462" s="1" t="str">
        <f>_xlfn.CONCAT(LEFT(Table1[[#This Row],[Gender]],1),Table1[[#This Row],[Age]])</f>
        <v>F68</v>
      </c>
      <c r="G462" s="1" t="s">
        <v>19</v>
      </c>
      <c r="H462" s="1">
        <f>LEN(Table1[[#This Row],[Chest_Pain_Type]])</f>
        <v>14</v>
      </c>
      <c r="I462" s="1">
        <v>106</v>
      </c>
      <c r="J462" s="1" t="str" cm="1">
        <f t="array" ref="J46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62" s="1">
        <v>154</v>
      </c>
      <c r="L462" s="1" t="s">
        <v>16</v>
      </c>
      <c r="M462" s="1" t="str">
        <f>IF(Table1[[#This Row],[Fasting_Blood_Sugar]]="Yes","Diabetic Risk","Normal")</f>
        <v>Diabetic Risk</v>
      </c>
      <c r="N462" s="1" t="s">
        <v>15</v>
      </c>
      <c r="O462" s="1">
        <v>167</v>
      </c>
      <c r="P462" s="1" t="s">
        <v>16</v>
      </c>
      <c r="Q462" s="4" t="s">
        <v>14</v>
      </c>
      <c r="R462" s="1" t="str" cm="1">
        <f t="array" ref="R46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62" s="1">
        <f>IFERROR(Table1[[#This Row],[Cholesterol]]/Table1[[#This Row],[Max_Heart_Rate]],"")</f>
        <v>0.92215568862275454</v>
      </c>
    </row>
    <row r="463" spans="1:19">
      <c r="A463" s="3" t="s">
        <v>483</v>
      </c>
      <c r="B463" s="3" t="str">
        <f>RIGHT(Table1[[#This Row],[Patient_ID]],4)</f>
        <v>1461</v>
      </c>
      <c r="C463" s="1">
        <v>44</v>
      </c>
      <c r="D463" s="1" t="str">
        <f>VLOOKUP(Table1[[#This Row],[Age]],'Lookup &amp; Reference'!$G$2:$H$5,2,1)</f>
        <v>Low</v>
      </c>
      <c r="E463" s="1" t="s">
        <v>12</v>
      </c>
      <c r="F463" s="1" t="str">
        <f>_xlfn.CONCAT(LEFT(Table1[[#This Row],[Gender]],1),Table1[[#This Row],[Age]])</f>
        <v>F44</v>
      </c>
      <c r="G463" s="1" t="s">
        <v>22</v>
      </c>
      <c r="H463" s="1">
        <f>LEN(Table1[[#This Row],[Chest_Pain_Type]])</f>
        <v>15</v>
      </c>
      <c r="I463" s="1">
        <v>165</v>
      </c>
      <c r="J463" s="1" t="str" cm="1">
        <f t="array" ref="J46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63" s="1">
        <v>217</v>
      </c>
      <c r="L463" s="1" t="s">
        <v>14</v>
      </c>
      <c r="M463" s="1" t="str">
        <f>IF(Table1[[#This Row],[Fasting_Blood_Sugar]]="Yes","Diabetic Risk","Normal")</f>
        <v>Normal</v>
      </c>
      <c r="N463" s="1" t="s">
        <v>27</v>
      </c>
      <c r="O463" s="1">
        <v>188</v>
      </c>
      <c r="P463" s="1" t="s">
        <v>14</v>
      </c>
      <c r="Q463" s="4" t="s">
        <v>16</v>
      </c>
      <c r="R463" s="1" t="str" cm="1">
        <f t="array" ref="R46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63" s="1">
        <f>IFERROR(Table1[[#This Row],[Cholesterol]]/Table1[[#This Row],[Max_Heart_Rate]],"")</f>
        <v>1.1542553191489362</v>
      </c>
    </row>
    <row r="464" spans="1:19">
      <c r="A464" s="3" t="s">
        <v>484</v>
      </c>
      <c r="B464" s="3" t="str">
        <f>RIGHT(Table1[[#This Row],[Patient_ID]],4)</f>
        <v>1462</v>
      </c>
      <c r="C464" s="1">
        <v>41</v>
      </c>
      <c r="D464" s="1" t="str">
        <f>VLOOKUP(Table1[[#This Row],[Age]],'Lookup &amp; Reference'!$G$2:$H$5,2,1)</f>
        <v>Low</v>
      </c>
      <c r="E464" s="1" t="s">
        <v>18</v>
      </c>
      <c r="F464" s="1" t="str">
        <f>_xlfn.CONCAT(LEFT(Table1[[#This Row],[Gender]],1),Table1[[#This Row],[Age]])</f>
        <v>M41</v>
      </c>
      <c r="G464" s="1" t="s">
        <v>13</v>
      </c>
      <c r="H464" s="1">
        <f>LEN(Table1[[#This Row],[Chest_Pain_Type]])</f>
        <v>11</v>
      </c>
      <c r="I464" s="1">
        <v>135</v>
      </c>
      <c r="J464" s="1" t="str" cm="1">
        <f t="array" ref="J46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64" s="1">
        <v>334</v>
      </c>
      <c r="L464" s="1" t="s">
        <v>16</v>
      </c>
      <c r="M464" s="1" t="str">
        <f>IF(Table1[[#This Row],[Fasting_Blood_Sugar]]="Yes","Diabetic Risk","Normal")</f>
        <v>Diabetic Risk</v>
      </c>
      <c r="N464" s="1" t="s">
        <v>20</v>
      </c>
      <c r="O464" s="1">
        <v>197</v>
      </c>
      <c r="P464" s="1" t="s">
        <v>16</v>
      </c>
      <c r="Q464" s="4" t="s">
        <v>16</v>
      </c>
      <c r="R464" s="1" t="str" cm="1">
        <f t="array" ref="R46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64" s="1">
        <f>IFERROR(Table1[[#This Row],[Cholesterol]]/Table1[[#This Row],[Max_Heart_Rate]],"")</f>
        <v>1.6954314720812182</v>
      </c>
    </row>
    <row r="465" spans="1:19">
      <c r="A465" s="3" t="s">
        <v>485</v>
      </c>
      <c r="B465" s="3" t="str">
        <f>RIGHT(Table1[[#This Row],[Patient_ID]],4)</f>
        <v>1463</v>
      </c>
      <c r="C465" s="1">
        <v>78</v>
      </c>
      <c r="D465" s="1" t="str">
        <f>VLOOKUP(Table1[[#This Row],[Age]],'Lookup &amp; Reference'!$G$2:$H$5,2,1)</f>
        <v>High</v>
      </c>
      <c r="E465" s="1" t="s">
        <v>12</v>
      </c>
      <c r="F465" s="1" t="str">
        <f>_xlfn.CONCAT(LEFT(Table1[[#This Row],[Gender]],1),Table1[[#This Row],[Age]])</f>
        <v>F78</v>
      </c>
      <c r="G465" s="1" t="s">
        <v>19</v>
      </c>
      <c r="H465" s="1">
        <f>LEN(Table1[[#This Row],[Chest_Pain_Type]])</f>
        <v>14</v>
      </c>
      <c r="I465" s="1">
        <v>121</v>
      </c>
      <c r="J465" s="1" t="str" cm="1">
        <f t="array" ref="J46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65" s="1">
        <v>149</v>
      </c>
      <c r="L465" s="1" t="s">
        <v>14</v>
      </c>
      <c r="M465" s="1" t="str">
        <f>IF(Table1[[#This Row],[Fasting_Blood_Sugar]]="Yes","Diabetic Risk","Normal")</f>
        <v>Normal</v>
      </c>
      <c r="N465" s="1" t="s">
        <v>27</v>
      </c>
      <c r="O465" s="1">
        <v>194</v>
      </c>
      <c r="P465" s="1" t="s">
        <v>16</v>
      </c>
      <c r="Q465" s="4" t="s">
        <v>16</v>
      </c>
      <c r="R465" s="1" t="str" cm="1">
        <f t="array" ref="R46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65" s="1">
        <f>IFERROR(Table1[[#This Row],[Cholesterol]]/Table1[[#This Row],[Max_Heart_Rate]],"")</f>
        <v>0.76804123711340211</v>
      </c>
    </row>
    <row r="466" spans="1:19">
      <c r="A466" s="3" t="s">
        <v>486</v>
      </c>
      <c r="B466" s="3" t="str">
        <f>RIGHT(Table1[[#This Row],[Patient_ID]],4)</f>
        <v>1464</v>
      </c>
      <c r="C466" s="1">
        <v>70</v>
      </c>
      <c r="D466" s="1" t="str">
        <f>VLOOKUP(Table1[[#This Row],[Age]],'Lookup &amp; Reference'!$G$2:$H$5,2,1)</f>
        <v>High</v>
      </c>
      <c r="E466" s="1" t="s">
        <v>12</v>
      </c>
      <c r="F466" s="1" t="str">
        <f>_xlfn.CONCAT(LEFT(Table1[[#This Row],[Gender]],1),Table1[[#This Row],[Age]])</f>
        <v>F70</v>
      </c>
      <c r="G466" s="1" t="s">
        <v>22</v>
      </c>
      <c r="H466" s="1">
        <f>LEN(Table1[[#This Row],[Chest_Pain_Type]])</f>
        <v>15</v>
      </c>
      <c r="I466" s="1">
        <v>168</v>
      </c>
      <c r="J466" s="1" t="str" cm="1">
        <f t="array" ref="J46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66" s="1">
        <v>235</v>
      </c>
      <c r="L466" s="1" t="s">
        <v>16</v>
      </c>
      <c r="M466" s="1" t="str">
        <f>IF(Table1[[#This Row],[Fasting_Blood_Sugar]]="Yes","Diabetic Risk","Normal")</f>
        <v>Diabetic Risk</v>
      </c>
      <c r="N466" s="1" t="s">
        <v>27</v>
      </c>
      <c r="O466" s="1">
        <v>160</v>
      </c>
      <c r="P466" s="1" t="s">
        <v>16</v>
      </c>
      <c r="Q466" s="4" t="s">
        <v>14</v>
      </c>
      <c r="R466" s="1" t="str" cm="1">
        <f t="array" ref="R46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66" s="1">
        <f>IFERROR(Table1[[#This Row],[Cholesterol]]/Table1[[#This Row],[Max_Heart_Rate]],"")</f>
        <v>1.46875</v>
      </c>
    </row>
    <row r="467" spans="1:19">
      <c r="A467" s="3" t="s">
        <v>487</v>
      </c>
      <c r="B467" s="3" t="str">
        <f>RIGHT(Table1[[#This Row],[Patient_ID]],4)</f>
        <v>1465</v>
      </c>
      <c r="C467" s="1">
        <v>58</v>
      </c>
      <c r="D467" s="1" t="str">
        <f>VLOOKUP(Table1[[#This Row],[Age]],'Lookup &amp; Reference'!$G$2:$H$5,2,1)</f>
        <v>Medium</v>
      </c>
      <c r="E467" s="1" t="s">
        <v>12</v>
      </c>
      <c r="F467" s="1" t="str">
        <f>_xlfn.CONCAT(LEFT(Table1[[#This Row],[Gender]],1),Table1[[#This Row],[Age]])</f>
        <v>F58</v>
      </c>
      <c r="G467" s="1" t="s">
        <v>19</v>
      </c>
      <c r="H467" s="1">
        <f>LEN(Table1[[#This Row],[Chest_Pain_Type]])</f>
        <v>14</v>
      </c>
      <c r="I467" s="1">
        <v>169</v>
      </c>
      <c r="J467" s="1" t="str" cm="1">
        <f t="array" ref="J46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67" s="1">
        <v>127</v>
      </c>
      <c r="L467" s="1" t="s">
        <v>14</v>
      </c>
      <c r="M467" s="1" t="str">
        <f>IF(Table1[[#This Row],[Fasting_Blood_Sugar]]="Yes","Diabetic Risk","Normal")</f>
        <v>Normal</v>
      </c>
      <c r="N467" s="1" t="s">
        <v>15</v>
      </c>
      <c r="O467" s="1">
        <v>194</v>
      </c>
      <c r="P467" s="1" t="s">
        <v>14</v>
      </c>
      <c r="Q467" s="4" t="s">
        <v>14</v>
      </c>
      <c r="R467" s="1" t="str" cm="1">
        <f t="array" ref="R46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67" s="1">
        <f>IFERROR(Table1[[#This Row],[Cholesterol]]/Table1[[#This Row],[Max_Heart_Rate]],"")</f>
        <v>0.65463917525773196</v>
      </c>
    </row>
    <row r="468" spans="1:19">
      <c r="A468" s="3" t="s">
        <v>488</v>
      </c>
      <c r="B468" s="3" t="str">
        <f>RIGHT(Table1[[#This Row],[Patient_ID]],4)</f>
        <v>1466</v>
      </c>
      <c r="C468" s="1">
        <v>47</v>
      </c>
      <c r="D468" s="1" t="str">
        <f>VLOOKUP(Table1[[#This Row],[Age]],'Lookup &amp; Reference'!$G$2:$H$5,2,1)</f>
        <v>Medium</v>
      </c>
      <c r="E468" s="1" t="s">
        <v>18</v>
      </c>
      <c r="F468" s="1" t="str">
        <f>_xlfn.CONCAT(LEFT(Table1[[#This Row],[Gender]],1),Table1[[#This Row],[Age]])</f>
        <v>M47</v>
      </c>
      <c r="G468" s="1" t="s">
        <v>25</v>
      </c>
      <c r="H468" s="1">
        <f>LEN(Table1[[#This Row],[Chest_Pain_Type]])</f>
        <v>12</v>
      </c>
      <c r="I468" s="1">
        <v>143</v>
      </c>
      <c r="J468" s="1" t="str" cm="1">
        <f t="array" ref="J46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68" s="1">
        <v>269</v>
      </c>
      <c r="L468" s="1" t="s">
        <v>16</v>
      </c>
      <c r="M468" s="1" t="str">
        <f>IF(Table1[[#This Row],[Fasting_Blood_Sugar]]="Yes","Diabetic Risk","Normal")</f>
        <v>Diabetic Risk</v>
      </c>
      <c r="N468" s="1" t="s">
        <v>27</v>
      </c>
      <c r="O468" s="1">
        <v>102</v>
      </c>
      <c r="P468" s="1" t="s">
        <v>16</v>
      </c>
      <c r="Q468" s="4" t="s">
        <v>14</v>
      </c>
      <c r="R468" s="1" t="str" cm="1">
        <f t="array" ref="R46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68" s="1">
        <f>IFERROR(Table1[[#This Row],[Cholesterol]]/Table1[[#This Row],[Max_Heart_Rate]],"")</f>
        <v>2.6372549019607843</v>
      </c>
    </row>
    <row r="469" spans="1:19">
      <c r="A469" s="3" t="s">
        <v>489</v>
      </c>
      <c r="B469" s="3" t="str">
        <f>RIGHT(Table1[[#This Row],[Patient_ID]],4)</f>
        <v>1467</v>
      </c>
      <c r="C469" s="1">
        <v>45</v>
      </c>
      <c r="D469" s="1" t="str">
        <f>VLOOKUP(Table1[[#This Row],[Age]],'Lookup &amp; Reference'!$G$2:$H$5,2,1)</f>
        <v>Medium</v>
      </c>
      <c r="E469" s="1" t="s">
        <v>12</v>
      </c>
      <c r="F469" s="1" t="str">
        <f>_xlfn.CONCAT(LEFT(Table1[[#This Row],[Gender]],1),Table1[[#This Row],[Age]])</f>
        <v>F45</v>
      </c>
      <c r="G469" s="1" t="s">
        <v>22</v>
      </c>
      <c r="H469" s="1">
        <f>LEN(Table1[[#This Row],[Chest_Pain_Type]])</f>
        <v>15</v>
      </c>
      <c r="I469" s="1">
        <v>175</v>
      </c>
      <c r="J469" s="1" t="str" cm="1">
        <f t="array" ref="J46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69" s="1">
        <v>163</v>
      </c>
      <c r="L469" s="1" t="s">
        <v>14</v>
      </c>
      <c r="M469" s="1" t="str">
        <f>IF(Table1[[#This Row],[Fasting_Blood_Sugar]]="Yes","Diabetic Risk","Normal")</f>
        <v>Normal</v>
      </c>
      <c r="N469" s="1" t="s">
        <v>20</v>
      </c>
      <c r="O469" s="1">
        <v>171</v>
      </c>
      <c r="P469" s="1" t="s">
        <v>16</v>
      </c>
      <c r="Q469" s="4" t="s">
        <v>16</v>
      </c>
      <c r="R469" s="1" t="str" cm="1">
        <f t="array" ref="R46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69" s="1">
        <f>IFERROR(Table1[[#This Row],[Cholesterol]]/Table1[[#This Row],[Max_Heart_Rate]],"")</f>
        <v>0.95321637426900585</v>
      </c>
    </row>
    <row r="470" spans="1:19">
      <c r="A470" s="3" t="s">
        <v>490</v>
      </c>
      <c r="B470" s="3" t="str">
        <f>RIGHT(Table1[[#This Row],[Patient_ID]],4)</f>
        <v>1468</v>
      </c>
      <c r="C470" s="1">
        <v>47</v>
      </c>
      <c r="D470" s="1" t="str">
        <f>VLOOKUP(Table1[[#This Row],[Age]],'Lookup &amp; Reference'!$G$2:$H$5,2,1)</f>
        <v>Medium</v>
      </c>
      <c r="E470" s="1" t="s">
        <v>12</v>
      </c>
      <c r="F470" s="1" t="str">
        <f>_xlfn.CONCAT(LEFT(Table1[[#This Row],[Gender]],1),Table1[[#This Row],[Age]])</f>
        <v>F47</v>
      </c>
      <c r="G470" s="1" t="s">
        <v>19</v>
      </c>
      <c r="H470" s="1">
        <f>LEN(Table1[[#This Row],[Chest_Pain_Type]])</f>
        <v>14</v>
      </c>
      <c r="I470" s="1">
        <v>181</v>
      </c>
      <c r="J470" s="1" t="str" cm="1">
        <f t="array" ref="J47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70" s="1">
        <v>305</v>
      </c>
      <c r="L470" s="1" t="s">
        <v>14</v>
      </c>
      <c r="M470" s="1" t="str">
        <f>IF(Table1[[#This Row],[Fasting_Blood_Sugar]]="Yes","Diabetic Risk","Normal")</f>
        <v>Normal</v>
      </c>
      <c r="N470" s="1" t="s">
        <v>15</v>
      </c>
      <c r="O470" s="1">
        <v>190</v>
      </c>
      <c r="P470" s="1" t="s">
        <v>14</v>
      </c>
      <c r="Q470" s="4" t="s">
        <v>16</v>
      </c>
      <c r="R470" s="1" t="str" cm="1">
        <f t="array" ref="R47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70" s="1">
        <f>IFERROR(Table1[[#This Row],[Cholesterol]]/Table1[[#This Row],[Max_Heart_Rate]],"")</f>
        <v>1.6052631578947369</v>
      </c>
    </row>
    <row r="471" spans="1:19">
      <c r="A471" s="3" t="s">
        <v>491</v>
      </c>
      <c r="B471" s="3" t="str">
        <f>RIGHT(Table1[[#This Row],[Patient_ID]],4)</f>
        <v>1469</v>
      </c>
      <c r="C471" s="1">
        <v>56</v>
      </c>
      <c r="D471" s="1" t="str">
        <f>VLOOKUP(Table1[[#This Row],[Age]],'Lookup &amp; Reference'!$G$2:$H$5,2,1)</f>
        <v>Medium</v>
      </c>
      <c r="E471" s="1" t="s">
        <v>18</v>
      </c>
      <c r="F471" s="1" t="str">
        <f>_xlfn.CONCAT(LEFT(Table1[[#This Row],[Gender]],1),Table1[[#This Row],[Age]])</f>
        <v>M56</v>
      </c>
      <c r="G471" s="1" t="s">
        <v>19</v>
      </c>
      <c r="H471" s="1">
        <f>LEN(Table1[[#This Row],[Chest_Pain_Type]])</f>
        <v>14</v>
      </c>
      <c r="I471" s="1">
        <v>109</v>
      </c>
      <c r="J471" s="1" t="str" cm="1">
        <f t="array" ref="J47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71" s="1">
        <v>155</v>
      </c>
      <c r="L471" s="1" t="s">
        <v>16</v>
      </c>
      <c r="M471" s="1" t="str">
        <f>IF(Table1[[#This Row],[Fasting_Blood_Sugar]]="Yes","Diabetic Risk","Normal")</f>
        <v>Diabetic Risk</v>
      </c>
      <c r="N471" s="1" t="s">
        <v>15</v>
      </c>
      <c r="O471" s="1">
        <v>102</v>
      </c>
      <c r="P471" s="1" t="s">
        <v>16</v>
      </c>
      <c r="Q471" s="4" t="s">
        <v>16</v>
      </c>
      <c r="R471" s="1" t="str" cm="1">
        <f t="array" ref="R47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71" s="1">
        <f>IFERROR(Table1[[#This Row],[Cholesterol]]/Table1[[#This Row],[Max_Heart_Rate]],"")</f>
        <v>1.5196078431372548</v>
      </c>
    </row>
    <row r="472" spans="1:19">
      <c r="A472" s="3" t="s">
        <v>492</v>
      </c>
      <c r="B472" s="3" t="str">
        <f>RIGHT(Table1[[#This Row],[Patient_ID]],4)</f>
        <v>1470</v>
      </c>
      <c r="C472" s="1">
        <v>54</v>
      </c>
      <c r="D472" s="1" t="str">
        <f>VLOOKUP(Table1[[#This Row],[Age]],'Lookup &amp; Reference'!$G$2:$H$5,2,1)</f>
        <v>Medium</v>
      </c>
      <c r="E472" s="1" t="s">
        <v>12</v>
      </c>
      <c r="F472" s="1" t="str">
        <f>_xlfn.CONCAT(LEFT(Table1[[#This Row],[Gender]],1),Table1[[#This Row],[Age]])</f>
        <v>F54</v>
      </c>
      <c r="G472" s="1" t="s">
        <v>13</v>
      </c>
      <c r="H472" s="1">
        <f>LEN(Table1[[#This Row],[Chest_Pain_Type]])</f>
        <v>11</v>
      </c>
      <c r="I472" s="1">
        <v>122</v>
      </c>
      <c r="J472" s="1" t="str" cm="1">
        <f t="array" ref="J47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72" s="1">
        <v>316</v>
      </c>
      <c r="L472" s="1" t="s">
        <v>14</v>
      </c>
      <c r="M472" s="1" t="str">
        <f>IF(Table1[[#This Row],[Fasting_Blood_Sugar]]="Yes","Diabetic Risk","Normal")</f>
        <v>Normal</v>
      </c>
      <c r="N472" s="1" t="s">
        <v>27</v>
      </c>
      <c r="O472" s="1">
        <v>189</v>
      </c>
      <c r="P472" s="1" t="s">
        <v>16</v>
      </c>
      <c r="Q472" s="4" t="s">
        <v>16</v>
      </c>
      <c r="R472" s="1" t="str" cm="1">
        <f t="array" ref="R47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72" s="1">
        <f>IFERROR(Table1[[#This Row],[Cholesterol]]/Table1[[#This Row],[Max_Heart_Rate]],"")</f>
        <v>1.6719576719576719</v>
      </c>
    </row>
    <row r="473" spans="1:19">
      <c r="A473" s="3" t="s">
        <v>493</v>
      </c>
      <c r="B473" s="3" t="str">
        <f>RIGHT(Table1[[#This Row],[Patient_ID]],4)</f>
        <v>1471</v>
      </c>
      <c r="C473" s="1">
        <v>65</v>
      </c>
      <c r="D473" s="1" t="str">
        <f>VLOOKUP(Table1[[#This Row],[Age]],'Lookup &amp; Reference'!$G$2:$H$5,2,1)</f>
        <v>High</v>
      </c>
      <c r="E473" s="1" t="s">
        <v>18</v>
      </c>
      <c r="F473" s="1" t="str">
        <f>_xlfn.CONCAT(LEFT(Table1[[#This Row],[Gender]],1),Table1[[#This Row],[Age]])</f>
        <v>M65</v>
      </c>
      <c r="G473" s="1" t="s">
        <v>19</v>
      </c>
      <c r="H473" s="1">
        <f>LEN(Table1[[#This Row],[Chest_Pain_Type]])</f>
        <v>14</v>
      </c>
      <c r="I473" s="1">
        <v>163</v>
      </c>
      <c r="J473" s="1" t="str" cm="1">
        <f t="array" ref="J47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73" s="1">
        <v>196</v>
      </c>
      <c r="L473" s="1" t="s">
        <v>14</v>
      </c>
      <c r="M473" s="1" t="str">
        <f>IF(Table1[[#This Row],[Fasting_Blood_Sugar]]="Yes","Diabetic Risk","Normal")</f>
        <v>Normal</v>
      </c>
      <c r="N473" s="1" t="s">
        <v>15</v>
      </c>
      <c r="O473" s="1">
        <v>120</v>
      </c>
      <c r="P473" s="1" t="s">
        <v>14</v>
      </c>
      <c r="Q473" s="4" t="s">
        <v>14</v>
      </c>
      <c r="R473" s="1" t="str" cm="1">
        <f t="array" ref="R47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73" s="1">
        <f>IFERROR(Table1[[#This Row],[Cholesterol]]/Table1[[#This Row],[Max_Heart_Rate]],"")</f>
        <v>1.6333333333333333</v>
      </c>
    </row>
    <row r="474" spans="1:19">
      <c r="A474" s="3" t="s">
        <v>494</v>
      </c>
      <c r="B474" s="3" t="str">
        <f>RIGHT(Table1[[#This Row],[Patient_ID]],4)</f>
        <v>1472</v>
      </c>
      <c r="C474" s="1">
        <v>54</v>
      </c>
      <c r="D474" s="1" t="str">
        <f>VLOOKUP(Table1[[#This Row],[Age]],'Lookup &amp; Reference'!$G$2:$H$5,2,1)</f>
        <v>Medium</v>
      </c>
      <c r="E474" s="1" t="s">
        <v>18</v>
      </c>
      <c r="F474" s="1" t="str">
        <f>_xlfn.CONCAT(LEFT(Table1[[#This Row],[Gender]],1),Table1[[#This Row],[Age]])</f>
        <v>M54</v>
      </c>
      <c r="G474" s="1" t="s">
        <v>22</v>
      </c>
      <c r="H474" s="1">
        <f>LEN(Table1[[#This Row],[Chest_Pain_Type]])</f>
        <v>15</v>
      </c>
      <c r="I474" s="1">
        <v>129</v>
      </c>
      <c r="J474" s="1" t="str" cm="1">
        <f t="array" ref="J474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74" s="1">
        <v>340</v>
      </c>
      <c r="L474" s="1" t="s">
        <v>14</v>
      </c>
      <c r="M474" s="1" t="str">
        <f>IF(Table1[[#This Row],[Fasting_Blood_Sugar]]="Yes","Diabetic Risk","Normal")</f>
        <v>Normal</v>
      </c>
      <c r="N474" s="1" t="s">
        <v>15</v>
      </c>
      <c r="O474" s="1">
        <v>91</v>
      </c>
      <c r="P474" s="1" t="s">
        <v>16</v>
      </c>
      <c r="Q474" s="4" t="s">
        <v>16</v>
      </c>
      <c r="R474" s="1" t="str" cm="1">
        <f t="array" ref="R47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74" s="1">
        <f>IFERROR(Table1[[#This Row],[Cholesterol]]/Table1[[#This Row],[Max_Heart_Rate]],"")</f>
        <v>3.7362637362637363</v>
      </c>
    </row>
    <row r="475" spans="1:19">
      <c r="A475" s="3" t="s">
        <v>495</v>
      </c>
      <c r="B475" s="3" t="str">
        <f>RIGHT(Table1[[#This Row],[Patient_ID]],4)</f>
        <v>1473</v>
      </c>
      <c r="C475" s="1">
        <v>51</v>
      </c>
      <c r="D475" s="1" t="str">
        <f>VLOOKUP(Table1[[#This Row],[Age]],'Lookup &amp; Reference'!$G$2:$H$5,2,1)</f>
        <v>Medium</v>
      </c>
      <c r="E475" s="1" t="s">
        <v>18</v>
      </c>
      <c r="F475" s="1" t="str">
        <f>_xlfn.CONCAT(LEFT(Table1[[#This Row],[Gender]],1),Table1[[#This Row],[Age]])</f>
        <v>M51</v>
      </c>
      <c r="G475" s="1" t="s">
        <v>22</v>
      </c>
      <c r="H475" s="1">
        <f>LEN(Table1[[#This Row],[Chest_Pain_Type]])</f>
        <v>15</v>
      </c>
      <c r="I475" s="1">
        <v>121</v>
      </c>
      <c r="J475" s="1" t="str" cm="1">
        <f t="array" ref="J47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75" s="1">
        <v>150</v>
      </c>
      <c r="L475" s="1" t="s">
        <v>14</v>
      </c>
      <c r="M475" s="1" t="str">
        <f>IF(Table1[[#This Row],[Fasting_Blood_Sugar]]="Yes","Diabetic Risk","Normal")</f>
        <v>Normal</v>
      </c>
      <c r="N475" s="1" t="s">
        <v>15</v>
      </c>
      <c r="O475" s="1">
        <v>105</v>
      </c>
      <c r="P475" s="1" t="s">
        <v>16</v>
      </c>
      <c r="Q475" s="4" t="s">
        <v>16</v>
      </c>
      <c r="R475" s="1" t="str" cm="1">
        <f t="array" ref="R47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75" s="1">
        <f>IFERROR(Table1[[#This Row],[Cholesterol]]/Table1[[#This Row],[Max_Heart_Rate]],"")</f>
        <v>1.4285714285714286</v>
      </c>
    </row>
    <row r="476" spans="1:19">
      <c r="A476" s="3" t="s">
        <v>496</v>
      </c>
      <c r="B476" s="3" t="str">
        <f>RIGHT(Table1[[#This Row],[Patient_ID]],4)</f>
        <v>1474</v>
      </c>
      <c r="C476" s="1">
        <v>37</v>
      </c>
      <c r="D476" s="1" t="str">
        <f>VLOOKUP(Table1[[#This Row],[Age]],'Lookup &amp; Reference'!$G$2:$H$5,2,1)</f>
        <v>Low</v>
      </c>
      <c r="E476" s="1" t="s">
        <v>18</v>
      </c>
      <c r="F476" s="1" t="str">
        <f>_xlfn.CONCAT(LEFT(Table1[[#This Row],[Gender]],1),Table1[[#This Row],[Age]])</f>
        <v>M37</v>
      </c>
      <c r="G476" s="1" t="s">
        <v>13</v>
      </c>
      <c r="H476" s="1">
        <f>LEN(Table1[[#This Row],[Chest_Pain_Type]])</f>
        <v>11</v>
      </c>
      <c r="I476" s="1">
        <v>186</v>
      </c>
      <c r="J476" s="1" t="str" cm="1">
        <f t="array" ref="J47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76" s="1">
        <v>166</v>
      </c>
      <c r="L476" s="1" t="s">
        <v>14</v>
      </c>
      <c r="M476" s="1" t="str">
        <f>IF(Table1[[#This Row],[Fasting_Blood_Sugar]]="Yes","Diabetic Risk","Normal")</f>
        <v>Normal</v>
      </c>
      <c r="N476" s="1" t="s">
        <v>15</v>
      </c>
      <c r="O476" s="1">
        <v>98</v>
      </c>
      <c r="P476" s="1" t="s">
        <v>16</v>
      </c>
      <c r="Q476" s="4" t="s">
        <v>16</v>
      </c>
      <c r="R476" s="1" t="str" cm="1">
        <f t="array" ref="R47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76" s="1">
        <f>IFERROR(Table1[[#This Row],[Cholesterol]]/Table1[[#This Row],[Max_Heart_Rate]],"")</f>
        <v>1.6938775510204083</v>
      </c>
    </row>
    <row r="477" spans="1:19">
      <c r="A477" s="3" t="s">
        <v>497</v>
      </c>
      <c r="B477" s="3" t="str">
        <f>RIGHT(Table1[[#This Row],[Patient_ID]],4)</f>
        <v>1475</v>
      </c>
      <c r="C477" s="1">
        <v>40</v>
      </c>
      <c r="D477" s="1" t="str">
        <f>VLOOKUP(Table1[[#This Row],[Age]],'Lookup &amp; Reference'!$G$2:$H$5,2,1)</f>
        <v>Low</v>
      </c>
      <c r="E477" s="1" t="s">
        <v>18</v>
      </c>
      <c r="F477" s="1" t="str">
        <f>_xlfn.CONCAT(LEFT(Table1[[#This Row],[Gender]],1),Table1[[#This Row],[Age]])</f>
        <v>M40</v>
      </c>
      <c r="G477" s="1" t="s">
        <v>22</v>
      </c>
      <c r="H477" s="1">
        <f>LEN(Table1[[#This Row],[Chest_Pain_Type]])</f>
        <v>15</v>
      </c>
      <c r="I477" s="1">
        <v>91</v>
      </c>
      <c r="J477" s="1" t="str" cm="1">
        <f t="array" ref="J47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77" s="1">
        <v>174</v>
      </c>
      <c r="L477" s="1" t="s">
        <v>14</v>
      </c>
      <c r="M477" s="1" t="str">
        <f>IF(Table1[[#This Row],[Fasting_Blood_Sugar]]="Yes","Diabetic Risk","Normal")</f>
        <v>Normal</v>
      </c>
      <c r="N477" s="1" t="s">
        <v>15</v>
      </c>
      <c r="O477" s="1">
        <v>162</v>
      </c>
      <c r="P477" s="1" t="s">
        <v>16</v>
      </c>
      <c r="Q477" s="4" t="s">
        <v>14</v>
      </c>
      <c r="R477" s="1" t="str" cm="1">
        <f t="array" ref="R47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77" s="1">
        <f>IFERROR(Table1[[#This Row],[Cholesterol]]/Table1[[#This Row],[Max_Heart_Rate]],"")</f>
        <v>1.0740740740740742</v>
      </c>
    </row>
    <row r="478" spans="1:19">
      <c r="A478" s="3" t="s">
        <v>498</v>
      </c>
      <c r="B478" s="3" t="str">
        <f>RIGHT(Table1[[#This Row],[Patient_ID]],4)</f>
        <v>1476</v>
      </c>
      <c r="C478" s="1">
        <v>29</v>
      </c>
      <c r="D478" s="1" t="e">
        <f>VLOOKUP(Table1[[#This Row],[Age]],'Lookup &amp; Reference'!$G$2:$H$5,2,1)</f>
        <v>#N/A</v>
      </c>
      <c r="E478" s="1" t="s">
        <v>12</v>
      </c>
      <c r="F478" s="1" t="str">
        <f>_xlfn.CONCAT(LEFT(Table1[[#This Row],[Gender]],1),Table1[[#This Row],[Age]])</f>
        <v>F29</v>
      </c>
      <c r="G478" s="1" t="s">
        <v>25</v>
      </c>
      <c r="H478" s="1">
        <f>LEN(Table1[[#This Row],[Chest_Pain_Type]])</f>
        <v>12</v>
      </c>
      <c r="I478" s="1">
        <v>186</v>
      </c>
      <c r="J478" s="1" t="str" cm="1">
        <f t="array" ref="J47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78" s="1">
        <v>327</v>
      </c>
      <c r="L478" s="1" t="s">
        <v>14</v>
      </c>
      <c r="M478" s="1" t="str">
        <f>IF(Table1[[#This Row],[Fasting_Blood_Sugar]]="Yes","Diabetic Risk","Normal")</f>
        <v>Normal</v>
      </c>
      <c r="N478" s="1" t="s">
        <v>15</v>
      </c>
      <c r="O478" s="1">
        <v>127</v>
      </c>
      <c r="P478" s="1" t="s">
        <v>16</v>
      </c>
      <c r="Q478" s="4" t="s">
        <v>16</v>
      </c>
      <c r="R478" s="1" t="str" cm="1">
        <f t="array" ref="R47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78" s="1">
        <f>IFERROR(Table1[[#This Row],[Cholesterol]]/Table1[[#This Row],[Max_Heart_Rate]],"")</f>
        <v>2.5748031496062991</v>
      </c>
    </row>
    <row r="479" spans="1:19">
      <c r="A479" s="3" t="s">
        <v>499</v>
      </c>
      <c r="B479" s="3" t="str">
        <f>RIGHT(Table1[[#This Row],[Patient_ID]],4)</f>
        <v>1477</v>
      </c>
      <c r="C479" s="1">
        <v>29</v>
      </c>
      <c r="D479" s="1" t="e">
        <f>VLOOKUP(Table1[[#This Row],[Age]],'Lookup &amp; Reference'!$G$2:$H$5,2,1)</f>
        <v>#N/A</v>
      </c>
      <c r="E479" s="1" t="s">
        <v>18</v>
      </c>
      <c r="F479" s="1" t="str">
        <f>_xlfn.CONCAT(LEFT(Table1[[#This Row],[Gender]],1),Table1[[#This Row],[Age]])</f>
        <v>M29</v>
      </c>
      <c r="G479" s="1" t="s">
        <v>22</v>
      </c>
      <c r="H479" s="1">
        <f>LEN(Table1[[#This Row],[Chest_Pain_Type]])</f>
        <v>15</v>
      </c>
      <c r="I479" s="1">
        <v>122</v>
      </c>
      <c r="J479" s="1" t="str" cm="1">
        <f t="array" ref="J47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79" s="1">
        <v>225</v>
      </c>
      <c r="L479" s="1" t="s">
        <v>14</v>
      </c>
      <c r="M479" s="1" t="str">
        <f>IF(Table1[[#This Row],[Fasting_Blood_Sugar]]="Yes","Diabetic Risk","Normal")</f>
        <v>Normal</v>
      </c>
      <c r="N479" s="1" t="s">
        <v>20</v>
      </c>
      <c r="O479" s="1">
        <v>164</v>
      </c>
      <c r="P479" s="1" t="s">
        <v>14</v>
      </c>
      <c r="Q479" s="4" t="s">
        <v>16</v>
      </c>
      <c r="R479" s="1" t="str" cm="1">
        <f t="array" ref="R47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79" s="1">
        <f>IFERROR(Table1[[#This Row],[Cholesterol]]/Table1[[#This Row],[Max_Heart_Rate]],"")</f>
        <v>1.3719512195121952</v>
      </c>
    </row>
    <row r="480" spans="1:19">
      <c r="A480" s="3" t="s">
        <v>500</v>
      </c>
      <c r="B480" s="3" t="str">
        <f>RIGHT(Table1[[#This Row],[Patient_ID]],4)</f>
        <v>1478</v>
      </c>
      <c r="C480" s="1">
        <v>75</v>
      </c>
      <c r="D480" s="1" t="str">
        <f>VLOOKUP(Table1[[#This Row],[Age]],'Lookup &amp; Reference'!$G$2:$H$5,2,1)</f>
        <v>High</v>
      </c>
      <c r="E480" s="1" t="s">
        <v>18</v>
      </c>
      <c r="F480" s="1" t="str">
        <f>_xlfn.CONCAT(LEFT(Table1[[#This Row],[Gender]],1),Table1[[#This Row],[Age]])</f>
        <v>M75</v>
      </c>
      <c r="G480" s="1" t="s">
        <v>22</v>
      </c>
      <c r="H480" s="1">
        <f>LEN(Table1[[#This Row],[Chest_Pain_Type]])</f>
        <v>15</v>
      </c>
      <c r="I480" s="1">
        <v>166</v>
      </c>
      <c r="J480" s="1" t="str" cm="1">
        <f t="array" ref="J48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80" s="1">
        <v>309</v>
      </c>
      <c r="L480" s="1" t="s">
        <v>16</v>
      </c>
      <c r="M480" s="1" t="str">
        <f>IF(Table1[[#This Row],[Fasting_Blood_Sugar]]="Yes","Diabetic Risk","Normal")</f>
        <v>Diabetic Risk</v>
      </c>
      <c r="N480" s="1" t="s">
        <v>27</v>
      </c>
      <c r="O480" s="1">
        <v>143</v>
      </c>
      <c r="P480" s="1" t="s">
        <v>14</v>
      </c>
      <c r="Q480" s="4" t="s">
        <v>16</v>
      </c>
      <c r="R480" s="1" t="str" cm="1">
        <f t="array" ref="R48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80" s="1">
        <f>IFERROR(Table1[[#This Row],[Cholesterol]]/Table1[[#This Row],[Max_Heart_Rate]],"")</f>
        <v>2.1608391608391608</v>
      </c>
    </row>
    <row r="481" spans="1:19">
      <c r="A481" s="3" t="s">
        <v>501</v>
      </c>
      <c r="B481" s="3" t="str">
        <f>RIGHT(Table1[[#This Row],[Patient_ID]],4)</f>
        <v>1479</v>
      </c>
      <c r="C481" s="1">
        <v>62</v>
      </c>
      <c r="D481" s="1" t="str">
        <f>VLOOKUP(Table1[[#This Row],[Age]],'Lookup &amp; Reference'!$G$2:$H$5,2,1)</f>
        <v>High</v>
      </c>
      <c r="E481" s="1" t="s">
        <v>12</v>
      </c>
      <c r="F481" s="1" t="str">
        <f>_xlfn.CONCAT(LEFT(Table1[[#This Row],[Gender]],1),Table1[[#This Row],[Age]])</f>
        <v>F62</v>
      </c>
      <c r="G481" s="1" t="s">
        <v>19</v>
      </c>
      <c r="H481" s="1">
        <f>LEN(Table1[[#This Row],[Chest_Pain_Type]])</f>
        <v>14</v>
      </c>
      <c r="I481" s="1">
        <v>119</v>
      </c>
      <c r="J481" s="1" t="str" cm="1">
        <f t="array" ref="J48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81" s="1">
        <v>277</v>
      </c>
      <c r="L481" s="1" t="s">
        <v>16</v>
      </c>
      <c r="M481" s="1" t="str">
        <f>IF(Table1[[#This Row],[Fasting_Blood_Sugar]]="Yes","Diabetic Risk","Normal")</f>
        <v>Diabetic Risk</v>
      </c>
      <c r="N481" s="1" t="s">
        <v>20</v>
      </c>
      <c r="O481" s="1">
        <v>145</v>
      </c>
      <c r="P481" s="1" t="s">
        <v>14</v>
      </c>
      <c r="Q481" s="4" t="s">
        <v>16</v>
      </c>
      <c r="R481" s="1" t="str" cm="1">
        <f t="array" ref="R48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81" s="1">
        <f>IFERROR(Table1[[#This Row],[Cholesterol]]/Table1[[#This Row],[Max_Heart_Rate]],"")</f>
        <v>1.9103448275862069</v>
      </c>
    </row>
    <row r="482" spans="1:19">
      <c r="A482" s="3" t="s">
        <v>502</v>
      </c>
      <c r="B482" s="3" t="str">
        <f>RIGHT(Table1[[#This Row],[Patient_ID]],4)</f>
        <v>1480</v>
      </c>
      <c r="C482" s="1">
        <v>60</v>
      </c>
      <c r="D482" s="1" t="str">
        <f>VLOOKUP(Table1[[#This Row],[Age]],'Lookup &amp; Reference'!$G$2:$H$5,2,1)</f>
        <v>High</v>
      </c>
      <c r="E482" s="1" t="s">
        <v>18</v>
      </c>
      <c r="F482" s="1" t="str">
        <f>_xlfn.CONCAT(LEFT(Table1[[#This Row],[Gender]],1),Table1[[#This Row],[Age]])</f>
        <v>M60</v>
      </c>
      <c r="G482" s="1" t="s">
        <v>19</v>
      </c>
      <c r="H482" s="1">
        <f>LEN(Table1[[#This Row],[Chest_Pain_Type]])</f>
        <v>14</v>
      </c>
      <c r="I482" s="1">
        <v>122</v>
      </c>
      <c r="J482" s="1" t="str" cm="1">
        <f t="array" ref="J48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82" s="1">
        <v>240</v>
      </c>
      <c r="L482" s="1" t="s">
        <v>14</v>
      </c>
      <c r="M482" s="1" t="str">
        <f>IF(Table1[[#This Row],[Fasting_Blood_Sugar]]="Yes","Diabetic Risk","Normal")</f>
        <v>Normal</v>
      </c>
      <c r="N482" s="1" t="s">
        <v>15</v>
      </c>
      <c r="O482" s="1">
        <v>175</v>
      </c>
      <c r="P482" s="1" t="s">
        <v>14</v>
      </c>
      <c r="Q482" s="4" t="s">
        <v>16</v>
      </c>
      <c r="R482" s="1" t="str" cm="1">
        <f t="array" ref="R48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82" s="1">
        <f>IFERROR(Table1[[#This Row],[Cholesterol]]/Table1[[#This Row],[Max_Heart_Rate]],"")</f>
        <v>1.3714285714285714</v>
      </c>
    </row>
    <row r="483" spans="1:19">
      <c r="A483" s="3" t="s">
        <v>503</v>
      </c>
      <c r="B483" s="3" t="str">
        <f>RIGHT(Table1[[#This Row],[Patient_ID]],4)</f>
        <v>1481</v>
      </c>
      <c r="C483" s="1">
        <v>76</v>
      </c>
      <c r="D483" s="1" t="str">
        <f>VLOOKUP(Table1[[#This Row],[Age]],'Lookup &amp; Reference'!$G$2:$H$5,2,1)</f>
        <v>High</v>
      </c>
      <c r="E483" s="1" t="s">
        <v>12</v>
      </c>
      <c r="F483" s="1" t="str">
        <f>_xlfn.CONCAT(LEFT(Table1[[#This Row],[Gender]],1),Table1[[#This Row],[Age]])</f>
        <v>F76</v>
      </c>
      <c r="G483" s="1" t="s">
        <v>22</v>
      </c>
      <c r="H483" s="1">
        <f>LEN(Table1[[#This Row],[Chest_Pain_Type]])</f>
        <v>15</v>
      </c>
      <c r="I483" s="1">
        <v>166</v>
      </c>
      <c r="J483" s="1" t="str" cm="1">
        <f t="array" ref="J48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83" s="1">
        <v>174</v>
      </c>
      <c r="L483" s="1" t="s">
        <v>14</v>
      </c>
      <c r="M483" s="1" t="str">
        <f>IF(Table1[[#This Row],[Fasting_Blood_Sugar]]="Yes","Diabetic Risk","Normal")</f>
        <v>Normal</v>
      </c>
      <c r="N483" s="1" t="s">
        <v>15</v>
      </c>
      <c r="O483" s="1">
        <v>186</v>
      </c>
      <c r="P483" s="1" t="s">
        <v>16</v>
      </c>
      <c r="Q483" s="4" t="s">
        <v>14</v>
      </c>
      <c r="R483" s="1" t="str" cm="1">
        <f t="array" ref="R48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83" s="1">
        <f>IFERROR(Table1[[#This Row],[Cholesterol]]/Table1[[#This Row],[Max_Heart_Rate]],"")</f>
        <v>0.93548387096774188</v>
      </c>
    </row>
    <row r="484" spans="1:19">
      <c r="A484" s="3" t="s">
        <v>504</v>
      </c>
      <c r="B484" s="3" t="str">
        <f>RIGHT(Table1[[#This Row],[Patient_ID]],4)</f>
        <v>1482</v>
      </c>
      <c r="C484" s="1">
        <v>53</v>
      </c>
      <c r="D484" s="1" t="str">
        <f>VLOOKUP(Table1[[#This Row],[Age]],'Lookup &amp; Reference'!$G$2:$H$5,2,1)</f>
        <v>Medium</v>
      </c>
      <c r="E484" s="1" t="s">
        <v>12</v>
      </c>
      <c r="F484" s="1" t="str">
        <f>_xlfn.CONCAT(LEFT(Table1[[#This Row],[Gender]],1),Table1[[#This Row],[Age]])</f>
        <v>F53</v>
      </c>
      <c r="G484" s="1" t="s">
        <v>13</v>
      </c>
      <c r="H484" s="1">
        <f>LEN(Table1[[#This Row],[Chest_Pain_Type]])</f>
        <v>11</v>
      </c>
      <c r="I484" s="1">
        <v>115</v>
      </c>
      <c r="J484" s="1" t="str" cm="1">
        <f t="array" ref="J48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84" s="1">
        <v>263</v>
      </c>
      <c r="L484" s="1" t="s">
        <v>16</v>
      </c>
      <c r="M484" s="1" t="str">
        <f>IF(Table1[[#This Row],[Fasting_Blood_Sugar]]="Yes","Diabetic Risk","Normal")</f>
        <v>Diabetic Risk</v>
      </c>
      <c r="N484" s="1" t="s">
        <v>27</v>
      </c>
      <c r="O484" s="1">
        <v>189</v>
      </c>
      <c r="P484" s="1" t="s">
        <v>16</v>
      </c>
      <c r="Q484" s="4" t="s">
        <v>16</v>
      </c>
      <c r="R484" s="1" t="str" cm="1">
        <f t="array" ref="R48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84" s="1">
        <f>IFERROR(Table1[[#This Row],[Cholesterol]]/Table1[[#This Row],[Max_Heart_Rate]],"")</f>
        <v>1.3915343915343916</v>
      </c>
    </row>
    <row r="485" spans="1:19">
      <c r="A485" s="3" t="s">
        <v>505</v>
      </c>
      <c r="B485" s="3" t="str">
        <f>RIGHT(Table1[[#This Row],[Patient_ID]],4)</f>
        <v>1483</v>
      </c>
      <c r="C485" s="1">
        <v>68</v>
      </c>
      <c r="D485" s="1" t="str">
        <f>VLOOKUP(Table1[[#This Row],[Age]],'Lookup &amp; Reference'!$G$2:$H$5,2,1)</f>
        <v>High</v>
      </c>
      <c r="E485" s="1" t="s">
        <v>12</v>
      </c>
      <c r="F485" s="1" t="str">
        <f>_xlfn.CONCAT(LEFT(Table1[[#This Row],[Gender]],1),Table1[[#This Row],[Age]])</f>
        <v>F68</v>
      </c>
      <c r="G485" s="1" t="s">
        <v>19</v>
      </c>
      <c r="H485" s="1">
        <f>LEN(Table1[[#This Row],[Chest_Pain_Type]])</f>
        <v>14</v>
      </c>
      <c r="I485" s="1">
        <v>111</v>
      </c>
      <c r="J485" s="1" t="str" cm="1">
        <f t="array" ref="J48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85" s="1">
        <v>131</v>
      </c>
      <c r="L485" s="1" t="s">
        <v>16</v>
      </c>
      <c r="M485" s="1" t="str">
        <f>IF(Table1[[#This Row],[Fasting_Blood_Sugar]]="Yes","Diabetic Risk","Normal")</f>
        <v>Diabetic Risk</v>
      </c>
      <c r="N485" s="1" t="s">
        <v>20</v>
      </c>
      <c r="O485" s="1">
        <v>198</v>
      </c>
      <c r="P485" s="1" t="s">
        <v>16</v>
      </c>
      <c r="Q485" s="4" t="s">
        <v>16</v>
      </c>
      <c r="R485" s="1" t="str" cm="1">
        <f t="array" ref="R48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85" s="1">
        <f>IFERROR(Table1[[#This Row],[Cholesterol]]/Table1[[#This Row],[Max_Heart_Rate]],"")</f>
        <v>0.66161616161616166</v>
      </c>
    </row>
    <row r="486" spans="1:19">
      <c r="A486" s="3" t="s">
        <v>506</v>
      </c>
      <c r="B486" s="3" t="str">
        <f>RIGHT(Table1[[#This Row],[Patient_ID]],4)</f>
        <v>1484</v>
      </c>
      <c r="C486" s="1">
        <v>73</v>
      </c>
      <c r="D486" s="1" t="str">
        <f>VLOOKUP(Table1[[#This Row],[Age]],'Lookup &amp; Reference'!$G$2:$H$5,2,1)</f>
        <v>High</v>
      </c>
      <c r="E486" s="1" t="s">
        <v>18</v>
      </c>
      <c r="F486" s="1" t="str">
        <f>_xlfn.CONCAT(LEFT(Table1[[#This Row],[Gender]],1),Table1[[#This Row],[Age]])</f>
        <v>M73</v>
      </c>
      <c r="G486" s="1" t="s">
        <v>13</v>
      </c>
      <c r="H486" s="1">
        <f>LEN(Table1[[#This Row],[Chest_Pain_Type]])</f>
        <v>11</v>
      </c>
      <c r="I486" s="1">
        <v>155</v>
      </c>
      <c r="J486" s="1" t="str" cm="1">
        <f t="array" ref="J48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86" s="1">
        <v>264</v>
      </c>
      <c r="L486" s="1" t="s">
        <v>16</v>
      </c>
      <c r="M486" s="1" t="str">
        <f>IF(Table1[[#This Row],[Fasting_Blood_Sugar]]="Yes","Diabetic Risk","Normal")</f>
        <v>Diabetic Risk</v>
      </c>
      <c r="N486" s="1" t="s">
        <v>27</v>
      </c>
      <c r="O486" s="1">
        <v>176</v>
      </c>
      <c r="P486" s="1" t="s">
        <v>16</v>
      </c>
      <c r="Q486" s="4" t="s">
        <v>16</v>
      </c>
      <c r="R486" s="1" t="str" cm="1">
        <f t="array" ref="R48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86" s="1">
        <f>IFERROR(Table1[[#This Row],[Cholesterol]]/Table1[[#This Row],[Max_Heart_Rate]],"")</f>
        <v>1.5</v>
      </c>
    </row>
    <row r="487" spans="1:19">
      <c r="A487" s="3" t="s">
        <v>507</v>
      </c>
      <c r="B487" s="3" t="str">
        <f>RIGHT(Table1[[#This Row],[Patient_ID]],4)</f>
        <v>1485</v>
      </c>
      <c r="C487" s="1">
        <v>29</v>
      </c>
      <c r="D487" s="1" t="e">
        <f>VLOOKUP(Table1[[#This Row],[Age]],'Lookup &amp; Reference'!$G$2:$H$5,2,1)</f>
        <v>#N/A</v>
      </c>
      <c r="E487" s="1" t="s">
        <v>18</v>
      </c>
      <c r="F487" s="1" t="str">
        <f>_xlfn.CONCAT(LEFT(Table1[[#This Row],[Gender]],1),Table1[[#This Row],[Age]])</f>
        <v>M29</v>
      </c>
      <c r="G487" s="1" t="s">
        <v>22</v>
      </c>
      <c r="H487" s="1">
        <f>LEN(Table1[[#This Row],[Chest_Pain_Type]])</f>
        <v>15</v>
      </c>
      <c r="I487" s="1">
        <v>127</v>
      </c>
      <c r="J487" s="1" t="str" cm="1">
        <f t="array" ref="J487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87" s="1">
        <v>263</v>
      </c>
      <c r="L487" s="1" t="s">
        <v>14</v>
      </c>
      <c r="M487" s="1" t="str">
        <f>IF(Table1[[#This Row],[Fasting_Blood_Sugar]]="Yes","Diabetic Risk","Normal")</f>
        <v>Normal</v>
      </c>
      <c r="N487" s="1" t="s">
        <v>20</v>
      </c>
      <c r="O487" s="1">
        <v>134</v>
      </c>
      <c r="P487" s="1" t="s">
        <v>16</v>
      </c>
      <c r="Q487" s="4" t="s">
        <v>16</v>
      </c>
      <c r="R487" s="1" t="str" cm="1">
        <f t="array" ref="R48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87" s="1">
        <f>IFERROR(Table1[[#This Row],[Cholesterol]]/Table1[[#This Row],[Max_Heart_Rate]],"")</f>
        <v>1.9626865671641791</v>
      </c>
    </row>
    <row r="488" spans="1:19">
      <c r="A488" s="3" t="s">
        <v>508</v>
      </c>
      <c r="B488" s="3" t="str">
        <f>RIGHT(Table1[[#This Row],[Patient_ID]],4)</f>
        <v>1486</v>
      </c>
      <c r="C488" s="1">
        <v>44</v>
      </c>
      <c r="D488" s="1" t="str">
        <f>VLOOKUP(Table1[[#This Row],[Age]],'Lookup &amp; Reference'!$G$2:$H$5,2,1)</f>
        <v>Low</v>
      </c>
      <c r="E488" s="1" t="s">
        <v>18</v>
      </c>
      <c r="F488" s="1" t="str">
        <f>_xlfn.CONCAT(LEFT(Table1[[#This Row],[Gender]],1),Table1[[#This Row],[Age]])</f>
        <v>M44</v>
      </c>
      <c r="G488" s="1" t="s">
        <v>22</v>
      </c>
      <c r="H488" s="1">
        <f>LEN(Table1[[#This Row],[Chest_Pain_Type]])</f>
        <v>15</v>
      </c>
      <c r="I488" s="1">
        <v>179</v>
      </c>
      <c r="J488" s="1" t="str" cm="1">
        <f t="array" ref="J48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88" s="1">
        <v>259</v>
      </c>
      <c r="L488" s="1" t="s">
        <v>16</v>
      </c>
      <c r="M488" s="1" t="str">
        <f>IF(Table1[[#This Row],[Fasting_Blood_Sugar]]="Yes","Diabetic Risk","Normal")</f>
        <v>Diabetic Risk</v>
      </c>
      <c r="N488" s="1" t="s">
        <v>15</v>
      </c>
      <c r="O488" s="1">
        <v>198</v>
      </c>
      <c r="P488" s="1" t="s">
        <v>14</v>
      </c>
      <c r="Q488" s="4" t="s">
        <v>16</v>
      </c>
      <c r="R488" s="1" t="str" cm="1">
        <f t="array" ref="R48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88" s="1">
        <f>IFERROR(Table1[[#This Row],[Cholesterol]]/Table1[[#This Row],[Max_Heart_Rate]],"")</f>
        <v>1.3080808080808082</v>
      </c>
    </row>
    <row r="489" spans="1:19">
      <c r="A489" s="3" t="s">
        <v>509</v>
      </c>
      <c r="B489" s="3" t="str">
        <f>RIGHT(Table1[[#This Row],[Patient_ID]],4)</f>
        <v>1487</v>
      </c>
      <c r="C489" s="1">
        <v>67</v>
      </c>
      <c r="D489" s="1" t="str">
        <f>VLOOKUP(Table1[[#This Row],[Age]],'Lookup &amp; Reference'!$G$2:$H$5,2,1)</f>
        <v>High</v>
      </c>
      <c r="E489" s="1" t="s">
        <v>12</v>
      </c>
      <c r="F489" s="1" t="str">
        <f>_xlfn.CONCAT(LEFT(Table1[[#This Row],[Gender]],1),Table1[[#This Row],[Age]])</f>
        <v>F67</v>
      </c>
      <c r="G489" s="1" t="s">
        <v>25</v>
      </c>
      <c r="H489" s="1">
        <f>LEN(Table1[[#This Row],[Chest_Pain_Type]])</f>
        <v>12</v>
      </c>
      <c r="I489" s="1">
        <v>135</v>
      </c>
      <c r="J489" s="1" t="str" cm="1">
        <f t="array" ref="J48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89" s="1">
        <v>255</v>
      </c>
      <c r="L489" s="1" t="s">
        <v>14</v>
      </c>
      <c r="M489" s="1" t="str">
        <f>IF(Table1[[#This Row],[Fasting_Blood_Sugar]]="Yes","Diabetic Risk","Normal")</f>
        <v>Normal</v>
      </c>
      <c r="N489" s="1" t="s">
        <v>27</v>
      </c>
      <c r="O489" s="1">
        <v>123</v>
      </c>
      <c r="P489" s="1" t="s">
        <v>14</v>
      </c>
      <c r="Q489" s="4" t="s">
        <v>16</v>
      </c>
      <c r="R489" s="1" t="str" cm="1">
        <f t="array" ref="R48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89" s="1">
        <f>IFERROR(Table1[[#This Row],[Cholesterol]]/Table1[[#This Row],[Max_Heart_Rate]],"")</f>
        <v>2.0731707317073171</v>
      </c>
    </row>
    <row r="490" spans="1:19">
      <c r="A490" s="3" t="s">
        <v>510</v>
      </c>
      <c r="B490" s="3" t="str">
        <f>RIGHT(Table1[[#This Row],[Patient_ID]],4)</f>
        <v>1488</v>
      </c>
      <c r="C490" s="1">
        <v>33</v>
      </c>
      <c r="D490" s="1" t="str">
        <f>VLOOKUP(Table1[[#This Row],[Age]],'Lookup &amp; Reference'!$G$2:$H$5,2,1)</f>
        <v>Low</v>
      </c>
      <c r="E490" s="1" t="s">
        <v>18</v>
      </c>
      <c r="F490" s="1" t="str">
        <f>_xlfn.CONCAT(LEFT(Table1[[#This Row],[Gender]],1),Table1[[#This Row],[Age]])</f>
        <v>M33</v>
      </c>
      <c r="G490" s="1" t="s">
        <v>19</v>
      </c>
      <c r="H490" s="1">
        <f>LEN(Table1[[#This Row],[Chest_Pain_Type]])</f>
        <v>14</v>
      </c>
      <c r="I490" s="1">
        <v>104</v>
      </c>
      <c r="J490" s="1" t="str" cm="1">
        <f t="array" ref="J49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90" s="1">
        <v>331</v>
      </c>
      <c r="L490" s="1" t="s">
        <v>14</v>
      </c>
      <c r="M490" s="1" t="str">
        <f>IF(Table1[[#This Row],[Fasting_Blood_Sugar]]="Yes","Diabetic Risk","Normal")</f>
        <v>Normal</v>
      </c>
      <c r="N490" s="1" t="s">
        <v>27</v>
      </c>
      <c r="O490" s="1">
        <v>98</v>
      </c>
      <c r="P490" s="1" t="s">
        <v>16</v>
      </c>
      <c r="Q490" s="4" t="s">
        <v>16</v>
      </c>
      <c r="R490" s="1" t="str" cm="1">
        <f t="array" ref="R49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90" s="1">
        <f>IFERROR(Table1[[#This Row],[Cholesterol]]/Table1[[#This Row],[Max_Heart_Rate]],"")</f>
        <v>3.3775510204081631</v>
      </c>
    </row>
    <row r="491" spans="1:19">
      <c r="A491" s="3" t="s">
        <v>511</v>
      </c>
      <c r="B491" s="3" t="str">
        <f>RIGHT(Table1[[#This Row],[Patient_ID]],4)</f>
        <v>1489</v>
      </c>
      <c r="C491" s="1">
        <v>50</v>
      </c>
      <c r="D491" s="1" t="str">
        <f>VLOOKUP(Table1[[#This Row],[Age]],'Lookup &amp; Reference'!$G$2:$H$5,2,1)</f>
        <v>Medium</v>
      </c>
      <c r="E491" s="1" t="s">
        <v>18</v>
      </c>
      <c r="F491" s="1" t="str">
        <f>_xlfn.CONCAT(LEFT(Table1[[#This Row],[Gender]],1),Table1[[#This Row],[Age]])</f>
        <v>M50</v>
      </c>
      <c r="G491" s="1" t="s">
        <v>22</v>
      </c>
      <c r="H491" s="1">
        <f>LEN(Table1[[#This Row],[Chest_Pain_Type]])</f>
        <v>15</v>
      </c>
      <c r="I491" s="1">
        <v>187</v>
      </c>
      <c r="J491" s="1" t="str" cm="1">
        <f t="array" ref="J49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91" s="1">
        <v>122</v>
      </c>
      <c r="L491" s="1" t="s">
        <v>16</v>
      </c>
      <c r="M491" s="1" t="str">
        <f>IF(Table1[[#This Row],[Fasting_Blood_Sugar]]="Yes","Diabetic Risk","Normal")</f>
        <v>Diabetic Risk</v>
      </c>
      <c r="N491" s="1" t="s">
        <v>15</v>
      </c>
      <c r="O491" s="1">
        <v>177</v>
      </c>
      <c r="P491" s="1" t="s">
        <v>16</v>
      </c>
      <c r="Q491" s="4" t="s">
        <v>16</v>
      </c>
      <c r="R491" s="1" t="str" cm="1">
        <f t="array" ref="R49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91" s="1">
        <f>IFERROR(Table1[[#This Row],[Cholesterol]]/Table1[[#This Row],[Max_Heart_Rate]],"")</f>
        <v>0.68926553672316382</v>
      </c>
    </row>
    <row r="492" spans="1:19">
      <c r="A492" s="3" t="s">
        <v>512</v>
      </c>
      <c r="B492" s="3" t="str">
        <f>RIGHT(Table1[[#This Row],[Patient_ID]],4)</f>
        <v>1490</v>
      </c>
      <c r="C492" s="1">
        <v>57</v>
      </c>
      <c r="D492" s="1" t="str">
        <f>VLOOKUP(Table1[[#This Row],[Age]],'Lookup &amp; Reference'!$G$2:$H$5,2,1)</f>
        <v>Medium</v>
      </c>
      <c r="E492" s="1" t="s">
        <v>18</v>
      </c>
      <c r="F492" s="1" t="str">
        <f>_xlfn.CONCAT(LEFT(Table1[[#This Row],[Gender]],1),Table1[[#This Row],[Age]])</f>
        <v>M57</v>
      </c>
      <c r="G492" s="1" t="s">
        <v>25</v>
      </c>
      <c r="H492" s="1">
        <f>LEN(Table1[[#This Row],[Chest_Pain_Type]])</f>
        <v>12</v>
      </c>
      <c r="I492" s="1">
        <v>133</v>
      </c>
      <c r="J492" s="1" t="str" cm="1">
        <f t="array" ref="J49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92" s="1">
        <v>263</v>
      </c>
      <c r="L492" s="1" t="s">
        <v>14</v>
      </c>
      <c r="M492" s="1" t="str">
        <f>IF(Table1[[#This Row],[Fasting_Blood_Sugar]]="Yes","Diabetic Risk","Normal")</f>
        <v>Normal</v>
      </c>
      <c r="N492" s="1" t="s">
        <v>27</v>
      </c>
      <c r="O492" s="1">
        <v>97</v>
      </c>
      <c r="P492" s="1" t="s">
        <v>16</v>
      </c>
      <c r="Q492" s="4" t="s">
        <v>16</v>
      </c>
      <c r="R492" s="1" t="str" cm="1">
        <f t="array" ref="R49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492" s="1">
        <f>IFERROR(Table1[[#This Row],[Cholesterol]]/Table1[[#This Row],[Max_Heart_Rate]],"")</f>
        <v>2.7113402061855671</v>
      </c>
    </row>
    <row r="493" spans="1:19">
      <c r="A493" s="3" t="s">
        <v>513</v>
      </c>
      <c r="B493" s="3" t="str">
        <f>RIGHT(Table1[[#This Row],[Patient_ID]],4)</f>
        <v>1491</v>
      </c>
      <c r="C493" s="1">
        <v>31</v>
      </c>
      <c r="D493" s="1" t="str">
        <f>VLOOKUP(Table1[[#This Row],[Age]],'Lookup &amp; Reference'!$G$2:$H$5,2,1)</f>
        <v>Low</v>
      </c>
      <c r="E493" s="1" t="s">
        <v>12</v>
      </c>
      <c r="F493" s="1" t="str">
        <f>_xlfn.CONCAT(LEFT(Table1[[#This Row],[Gender]],1),Table1[[#This Row],[Age]])</f>
        <v>F31</v>
      </c>
      <c r="G493" s="1" t="s">
        <v>19</v>
      </c>
      <c r="H493" s="1">
        <f>LEN(Table1[[#This Row],[Chest_Pain_Type]])</f>
        <v>14</v>
      </c>
      <c r="I493" s="1">
        <v>138</v>
      </c>
      <c r="J493" s="1" t="str" cm="1">
        <f t="array" ref="J49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493" s="1">
        <v>149</v>
      </c>
      <c r="L493" s="1" t="s">
        <v>14</v>
      </c>
      <c r="M493" s="1" t="str">
        <f>IF(Table1[[#This Row],[Fasting_Blood_Sugar]]="Yes","Diabetic Risk","Normal")</f>
        <v>Normal</v>
      </c>
      <c r="N493" s="1" t="s">
        <v>20</v>
      </c>
      <c r="O493" s="1">
        <v>96</v>
      </c>
      <c r="P493" s="1" t="s">
        <v>14</v>
      </c>
      <c r="Q493" s="4" t="s">
        <v>16</v>
      </c>
      <c r="R493" s="1" t="str" cm="1">
        <f t="array" ref="R49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93" s="1">
        <f>IFERROR(Table1[[#This Row],[Cholesterol]]/Table1[[#This Row],[Max_Heart_Rate]],"")</f>
        <v>1.5520833333333333</v>
      </c>
    </row>
    <row r="494" spans="1:19">
      <c r="A494" s="3" t="s">
        <v>514</v>
      </c>
      <c r="B494" s="3" t="str">
        <f>RIGHT(Table1[[#This Row],[Patient_ID]],4)</f>
        <v>1492</v>
      </c>
      <c r="C494" s="1">
        <v>40</v>
      </c>
      <c r="D494" s="1" t="str">
        <f>VLOOKUP(Table1[[#This Row],[Age]],'Lookup &amp; Reference'!$G$2:$H$5,2,1)</f>
        <v>Low</v>
      </c>
      <c r="E494" s="1" t="s">
        <v>12</v>
      </c>
      <c r="F494" s="1" t="str">
        <f>_xlfn.CONCAT(LEFT(Table1[[#This Row],[Gender]],1),Table1[[#This Row],[Age]])</f>
        <v>F40</v>
      </c>
      <c r="G494" s="1" t="s">
        <v>22</v>
      </c>
      <c r="H494" s="1">
        <f>LEN(Table1[[#This Row],[Chest_Pain_Type]])</f>
        <v>15</v>
      </c>
      <c r="I494" s="1">
        <v>164</v>
      </c>
      <c r="J494" s="1" t="str" cm="1">
        <f t="array" ref="J49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94" s="1">
        <v>142</v>
      </c>
      <c r="L494" s="1" t="s">
        <v>14</v>
      </c>
      <c r="M494" s="1" t="str">
        <f>IF(Table1[[#This Row],[Fasting_Blood_Sugar]]="Yes","Diabetic Risk","Normal")</f>
        <v>Normal</v>
      </c>
      <c r="N494" s="1" t="s">
        <v>20</v>
      </c>
      <c r="O494" s="1">
        <v>125</v>
      </c>
      <c r="P494" s="1" t="s">
        <v>16</v>
      </c>
      <c r="Q494" s="4" t="s">
        <v>14</v>
      </c>
      <c r="R494" s="1" t="str" cm="1">
        <f t="array" ref="R49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94" s="1">
        <f>IFERROR(Table1[[#This Row],[Cholesterol]]/Table1[[#This Row],[Max_Heart_Rate]],"")</f>
        <v>1.1359999999999999</v>
      </c>
    </row>
    <row r="495" spans="1:19">
      <c r="A495" s="3" t="s">
        <v>515</v>
      </c>
      <c r="B495" s="3" t="str">
        <f>RIGHT(Table1[[#This Row],[Patient_ID]],4)</f>
        <v>1493</v>
      </c>
      <c r="C495" s="1">
        <v>54</v>
      </c>
      <c r="D495" s="1" t="str">
        <f>VLOOKUP(Table1[[#This Row],[Age]],'Lookup &amp; Reference'!$G$2:$H$5,2,1)</f>
        <v>Medium</v>
      </c>
      <c r="E495" s="1" t="s">
        <v>18</v>
      </c>
      <c r="F495" s="1" t="str">
        <f>_xlfn.CONCAT(LEFT(Table1[[#This Row],[Gender]],1),Table1[[#This Row],[Age]])</f>
        <v>M54</v>
      </c>
      <c r="G495" s="1" t="s">
        <v>22</v>
      </c>
      <c r="H495" s="1">
        <f>LEN(Table1[[#This Row],[Chest_Pain_Type]])</f>
        <v>15</v>
      </c>
      <c r="I495" s="1">
        <v>150</v>
      </c>
      <c r="J495" s="1" t="str" cm="1">
        <f t="array" ref="J49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95" s="1">
        <v>211</v>
      </c>
      <c r="L495" s="1" t="s">
        <v>14</v>
      </c>
      <c r="M495" s="1" t="str">
        <f>IF(Table1[[#This Row],[Fasting_Blood_Sugar]]="Yes","Diabetic Risk","Normal")</f>
        <v>Normal</v>
      </c>
      <c r="N495" s="1" t="s">
        <v>20</v>
      </c>
      <c r="O495" s="1">
        <v>107</v>
      </c>
      <c r="P495" s="1" t="s">
        <v>16</v>
      </c>
      <c r="Q495" s="4" t="s">
        <v>14</v>
      </c>
      <c r="R495" s="1" t="str" cm="1">
        <f t="array" ref="R49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95" s="1">
        <f>IFERROR(Table1[[#This Row],[Cholesterol]]/Table1[[#This Row],[Max_Heart_Rate]],"")</f>
        <v>1.97196261682243</v>
      </c>
    </row>
    <row r="496" spans="1:19">
      <c r="A496" s="3" t="s">
        <v>516</v>
      </c>
      <c r="B496" s="3" t="str">
        <f>RIGHT(Table1[[#This Row],[Patient_ID]],4)</f>
        <v>1494</v>
      </c>
      <c r="C496" s="1">
        <v>44</v>
      </c>
      <c r="D496" s="1" t="str">
        <f>VLOOKUP(Table1[[#This Row],[Age]],'Lookup &amp; Reference'!$G$2:$H$5,2,1)</f>
        <v>Low</v>
      </c>
      <c r="E496" s="1" t="s">
        <v>18</v>
      </c>
      <c r="F496" s="1" t="str">
        <f>_xlfn.CONCAT(LEFT(Table1[[#This Row],[Gender]],1),Table1[[#This Row],[Age]])</f>
        <v>M44</v>
      </c>
      <c r="G496" s="1" t="s">
        <v>19</v>
      </c>
      <c r="H496" s="1">
        <f>LEN(Table1[[#This Row],[Chest_Pain_Type]])</f>
        <v>14</v>
      </c>
      <c r="I496" s="1">
        <v>156</v>
      </c>
      <c r="J496" s="1" t="str" cm="1">
        <f t="array" ref="J49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496" s="1">
        <v>234</v>
      </c>
      <c r="L496" s="1" t="s">
        <v>16</v>
      </c>
      <c r="M496" s="1" t="str">
        <f>IF(Table1[[#This Row],[Fasting_Blood_Sugar]]="Yes","Diabetic Risk","Normal")</f>
        <v>Diabetic Risk</v>
      </c>
      <c r="N496" s="1" t="s">
        <v>20</v>
      </c>
      <c r="O496" s="1">
        <v>92</v>
      </c>
      <c r="P496" s="1" t="s">
        <v>16</v>
      </c>
      <c r="Q496" s="4" t="s">
        <v>14</v>
      </c>
      <c r="R496" s="1" t="str" cm="1">
        <f t="array" ref="R49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96" s="1">
        <f>IFERROR(Table1[[#This Row],[Cholesterol]]/Table1[[#This Row],[Max_Heart_Rate]],"")</f>
        <v>2.5434782608695654</v>
      </c>
    </row>
    <row r="497" spans="1:19">
      <c r="A497" s="3" t="s">
        <v>517</v>
      </c>
      <c r="B497" s="3" t="str">
        <f>RIGHT(Table1[[#This Row],[Patient_ID]],4)</f>
        <v>1495</v>
      </c>
      <c r="C497" s="1">
        <v>79</v>
      </c>
      <c r="D497" s="1" t="str">
        <f>VLOOKUP(Table1[[#This Row],[Age]],'Lookup &amp; Reference'!$G$2:$H$5,2,1)</f>
        <v>High</v>
      </c>
      <c r="E497" s="1" t="s">
        <v>18</v>
      </c>
      <c r="F497" s="1" t="str">
        <f>_xlfn.CONCAT(LEFT(Table1[[#This Row],[Gender]],1),Table1[[#This Row],[Age]])</f>
        <v>M79</v>
      </c>
      <c r="G497" s="1" t="s">
        <v>19</v>
      </c>
      <c r="H497" s="1">
        <f>LEN(Table1[[#This Row],[Chest_Pain_Type]])</f>
        <v>14</v>
      </c>
      <c r="I497" s="1">
        <v>95</v>
      </c>
      <c r="J497" s="1" t="str" cm="1">
        <f t="array" ref="J49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97" s="1">
        <v>223</v>
      </c>
      <c r="L497" s="1" t="s">
        <v>16</v>
      </c>
      <c r="M497" s="1" t="str">
        <f>IF(Table1[[#This Row],[Fasting_Blood_Sugar]]="Yes","Diabetic Risk","Normal")</f>
        <v>Diabetic Risk</v>
      </c>
      <c r="N497" s="1" t="s">
        <v>15</v>
      </c>
      <c r="O497" s="1">
        <v>117</v>
      </c>
      <c r="P497" s="1" t="s">
        <v>14</v>
      </c>
      <c r="Q497" s="4" t="s">
        <v>14</v>
      </c>
      <c r="R497" s="1" t="str" cm="1">
        <f t="array" ref="R49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97" s="1">
        <f>IFERROR(Table1[[#This Row],[Cholesterol]]/Table1[[#This Row],[Max_Heart_Rate]],"")</f>
        <v>1.9059829059829059</v>
      </c>
    </row>
    <row r="498" spans="1:19">
      <c r="A498" s="3" t="s">
        <v>518</v>
      </c>
      <c r="B498" s="3" t="str">
        <f>RIGHT(Table1[[#This Row],[Patient_ID]],4)</f>
        <v>1496</v>
      </c>
      <c r="C498" s="1">
        <v>65</v>
      </c>
      <c r="D498" s="1" t="str">
        <f>VLOOKUP(Table1[[#This Row],[Age]],'Lookup &amp; Reference'!$G$2:$H$5,2,1)</f>
        <v>High</v>
      </c>
      <c r="E498" s="1" t="s">
        <v>18</v>
      </c>
      <c r="F498" s="1" t="str">
        <f>_xlfn.CONCAT(LEFT(Table1[[#This Row],[Gender]],1),Table1[[#This Row],[Age]])</f>
        <v>M65</v>
      </c>
      <c r="G498" s="1" t="s">
        <v>19</v>
      </c>
      <c r="H498" s="1">
        <f>LEN(Table1[[#This Row],[Chest_Pain_Type]])</f>
        <v>14</v>
      </c>
      <c r="I498" s="1">
        <v>98</v>
      </c>
      <c r="J498" s="1" t="str" cm="1">
        <f t="array" ref="J49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98" s="1">
        <v>237</v>
      </c>
      <c r="L498" s="1" t="s">
        <v>14</v>
      </c>
      <c r="M498" s="1" t="str">
        <f>IF(Table1[[#This Row],[Fasting_Blood_Sugar]]="Yes","Diabetic Risk","Normal")</f>
        <v>Normal</v>
      </c>
      <c r="N498" s="1" t="s">
        <v>27</v>
      </c>
      <c r="O498" s="1">
        <v>159</v>
      </c>
      <c r="P498" s="1" t="s">
        <v>16</v>
      </c>
      <c r="Q498" s="4" t="s">
        <v>16</v>
      </c>
      <c r="R498" s="1" t="str" cm="1">
        <f t="array" ref="R49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498" s="1">
        <f>IFERROR(Table1[[#This Row],[Cholesterol]]/Table1[[#This Row],[Max_Heart_Rate]],"")</f>
        <v>1.4905660377358489</v>
      </c>
    </row>
    <row r="499" spans="1:19">
      <c r="A499" s="3" t="s">
        <v>519</v>
      </c>
      <c r="B499" s="3" t="str">
        <f>RIGHT(Table1[[#This Row],[Patient_ID]],4)</f>
        <v>1497</v>
      </c>
      <c r="C499" s="1">
        <v>50</v>
      </c>
      <c r="D499" s="1" t="str">
        <f>VLOOKUP(Table1[[#This Row],[Age]],'Lookup &amp; Reference'!$G$2:$H$5,2,1)</f>
        <v>Medium</v>
      </c>
      <c r="E499" s="1" t="s">
        <v>12</v>
      </c>
      <c r="F499" s="1" t="str">
        <f>_xlfn.CONCAT(LEFT(Table1[[#This Row],[Gender]],1),Table1[[#This Row],[Age]])</f>
        <v>F50</v>
      </c>
      <c r="G499" s="1" t="s">
        <v>22</v>
      </c>
      <c r="H499" s="1">
        <f>LEN(Table1[[#This Row],[Chest_Pain_Type]])</f>
        <v>15</v>
      </c>
      <c r="I499" s="1">
        <v>95</v>
      </c>
      <c r="J499" s="1" t="str" cm="1">
        <f t="array" ref="J49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499" s="1">
        <v>124</v>
      </c>
      <c r="L499" s="1" t="s">
        <v>14</v>
      </c>
      <c r="M499" s="1" t="str">
        <f>IF(Table1[[#This Row],[Fasting_Blood_Sugar]]="Yes","Diabetic Risk","Normal")</f>
        <v>Normal</v>
      </c>
      <c r="N499" s="1" t="s">
        <v>20</v>
      </c>
      <c r="O499" s="1">
        <v>197</v>
      </c>
      <c r="P499" s="1" t="s">
        <v>14</v>
      </c>
      <c r="Q499" s="4" t="s">
        <v>14</v>
      </c>
      <c r="R499" s="1" t="str" cm="1">
        <f t="array" ref="R49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499" s="1">
        <f>IFERROR(Table1[[#This Row],[Cholesterol]]/Table1[[#This Row],[Max_Heart_Rate]],"")</f>
        <v>0.62944162436548223</v>
      </c>
    </row>
    <row r="500" spans="1:19">
      <c r="A500" s="3" t="s">
        <v>520</v>
      </c>
      <c r="B500" s="3" t="str">
        <f>RIGHT(Table1[[#This Row],[Patient_ID]],4)</f>
        <v>1498</v>
      </c>
      <c r="C500" s="1">
        <v>57</v>
      </c>
      <c r="D500" s="1" t="str">
        <f>VLOOKUP(Table1[[#This Row],[Age]],'Lookup &amp; Reference'!$G$2:$H$5,2,1)</f>
        <v>Medium</v>
      </c>
      <c r="E500" s="1" t="s">
        <v>12</v>
      </c>
      <c r="F500" s="1" t="str">
        <f>_xlfn.CONCAT(LEFT(Table1[[#This Row],[Gender]],1),Table1[[#This Row],[Age]])</f>
        <v>F57</v>
      </c>
      <c r="G500" s="1" t="s">
        <v>22</v>
      </c>
      <c r="H500" s="1">
        <f>LEN(Table1[[#This Row],[Chest_Pain_Type]])</f>
        <v>15</v>
      </c>
      <c r="I500" s="1">
        <v>162</v>
      </c>
      <c r="J500" s="1" t="str" cm="1">
        <f t="array" ref="J50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00" s="1">
        <v>331</v>
      </c>
      <c r="L500" s="1" t="s">
        <v>16</v>
      </c>
      <c r="M500" s="1" t="str">
        <f>IF(Table1[[#This Row],[Fasting_Blood_Sugar]]="Yes","Diabetic Risk","Normal")</f>
        <v>Diabetic Risk</v>
      </c>
      <c r="N500" s="1" t="s">
        <v>15</v>
      </c>
      <c r="O500" s="1">
        <v>133</v>
      </c>
      <c r="P500" s="1" t="s">
        <v>14</v>
      </c>
      <c r="Q500" s="4" t="s">
        <v>14</v>
      </c>
      <c r="R500" s="1" t="str" cm="1">
        <f t="array" ref="R50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0" s="1">
        <f>IFERROR(Table1[[#This Row],[Cholesterol]]/Table1[[#This Row],[Max_Heart_Rate]],"")</f>
        <v>2.488721804511278</v>
      </c>
    </row>
    <row r="501" spans="1:19">
      <c r="A501" s="3" t="s">
        <v>521</v>
      </c>
      <c r="B501" s="3" t="str">
        <f>RIGHT(Table1[[#This Row],[Patient_ID]],4)</f>
        <v>1499</v>
      </c>
      <c r="C501" s="1">
        <v>42</v>
      </c>
      <c r="D501" s="1" t="str">
        <f>VLOOKUP(Table1[[#This Row],[Age]],'Lookup &amp; Reference'!$G$2:$H$5,2,1)</f>
        <v>Low</v>
      </c>
      <c r="E501" s="1" t="s">
        <v>12</v>
      </c>
      <c r="F501" s="1" t="str">
        <f>_xlfn.CONCAT(LEFT(Table1[[#This Row],[Gender]],1),Table1[[#This Row],[Age]])</f>
        <v>F42</v>
      </c>
      <c r="G501" s="1" t="s">
        <v>25</v>
      </c>
      <c r="H501" s="1">
        <f>LEN(Table1[[#This Row],[Chest_Pain_Type]])</f>
        <v>12</v>
      </c>
      <c r="I501" s="1">
        <v>184</v>
      </c>
      <c r="J501" s="1" t="str" cm="1">
        <f t="array" ref="J50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01" s="1">
        <v>223</v>
      </c>
      <c r="L501" s="1" t="s">
        <v>14</v>
      </c>
      <c r="M501" s="1" t="str">
        <f>IF(Table1[[#This Row],[Fasting_Blood_Sugar]]="Yes","Diabetic Risk","Normal")</f>
        <v>Normal</v>
      </c>
      <c r="N501" s="1" t="s">
        <v>27</v>
      </c>
      <c r="O501" s="1">
        <v>110</v>
      </c>
      <c r="P501" s="1" t="s">
        <v>14</v>
      </c>
      <c r="Q501" s="4" t="s">
        <v>16</v>
      </c>
      <c r="R501" s="1" t="str" cm="1">
        <f t="array" ref="R50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1" s="1">
        <f>IFERROR(Table1[[#This Row],[Cholesterol]]/Table1[[#This Row],[Max_Heart_Rate]],"")</f>
        <v>2.0272727272727273</v>
      </c>
    </row>
    <row r="502" spans="1:19">
      <c r="A502" s="3" t="s">
        <v>522</v>
      </c>
      <c r="B502" s="3" t="str">
        <f>RIGHT(Table1[[#This Row],[Patient_ID]],4)</f>
        <v>1500</v>
      </c>
      <c r="C502" s="1">
        <v>56</v>
      </c>
      <c r="D502" s="1" t="str">
        <f>VLOOKUP(Table1[[#This Row],[Age]],'Lookup &amp; Reference'!$G$2:$H$5,2,1)</f>
        <v>Medium</v>
      </c>
      <c r="E502" s="1" t="s">
        <v>12</v>
      </c>
      <c r="F502" s="1" t="str">
        <f>_xlfn.CONCAT(LEFT(Table1[[#This Row],[Gender]],1),Table1[[#This Row],[Age]])</f>
        <v>F56</v>
      </c>
      <c r="G502" s="1" t="s">
        <v>13</v>
      </c>
      <c r="H502" s="1">
        <f>LEN(Table1[[#This Row],[Chest_Pain_Type]])</f>
        <v>11</v>
      </c>
      <c r="I502" s="1">
        <v>121</v>
      </c>
      <c r="J502" s="1" t="str" cm="1">
        <f t="array" ref="J50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02" s="1">
        <v>227</v>
      </c>
      <c r="L502" s="1" t="s">
        <v>16</v>
      </c>
      <c r="M502" s="1" t="str">
        <f>IF(Table1[[#This Row],[Fasting_Blood_Sugar]]="Yes","Diabetic Risk","Normal")</f>
        <v>Diabetic Risk</v>
      </c>
      <c r="N502" s="1" t="s">
        <v>27</v>
      </c>
      <c r="O502" s="1">
        <v>117</v>
      </c>
      <c r="P502" s="1" t="s">
        <v>14</v>
      </c>
      <c r="Q502" s="4" t="s">
        <v>14</v>
      </c>
      <c r="R502" s="1" t="str" cm="1">
        <f t="array" ref="R50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2" s="1">
        <f>IFERROR(Table1[[#This Row],[Cholesterol]]/Table1[[#This Row],[Max_Heart_Rate]],"")</f>
        <v>1.9401709401709402</v>
      </c>
    </row>
    <row r="503" spans="1:19">
      <c r="A503" s="3" t="s">
        <v>523</v>
      </c>
      <c r="B503" s="3" t="str">
        <f>RIGHT(Table1[[#This Row],[Patient_ID]],4)</f>
        <v>1501</v>
      </c>
      <c r="C503" s="1">
        <v>33</v>
      </c>
      <c r="D503" s="1" t="str">
        <f>VLOOKUP(Table1[[#This Row],[Age]],'Lookup &amp; Reference'!$G$2:$H$5,2,1)</f>
        <v>Low</v>
      </c>
      <c r="E503" s="1" t="s">
        <v>18</v>
      </c>
      <c r="F503" s="1" t="str">
        <f>_xlfn.CONCAT(LEFT(Table1[[#This Row],[Gender]],1),Table1[[#This Row],[Age]])</f>
        <v>M33</v>
      </c>
      <c r="G503" s="1" t="s">
        <v>19</v>
      </c>
      <c r="H503" s="1">
        <f>LEN(Table1[[#This Row],[Chest_Pain_Type]])</f>
        <v>14</v>
      </c>
      <c r="I503" s="1">
        <v>130</v>
      </c>
      <c r="J503" s="1" t="str" cm="1">
        <f t="array" ref="J50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03" s="1">
        <v>184</v>
      </c>
      <c r="L503" s="1" t="s">
        <v>14</v>
      </c>
      <c r="M503" s="1" t="str">
        <f>IF(Table1[[#This Row],[Fasting_Blood_Sugar]]="Yes","Diabetic Risk","Normal")</f>
        <v>Normal</v>
      </c>
      <c r="N503" s="1" t="s">
        <v>15</v>
      </c>
      <c r="O503" s="1">
        <v>193</v>
      </c>
      <c r="P503" s="1" t="s">
        <v>14</v>
      </c>
      <c r="Q503" s="4" t="s">
        <v>14</v>
      </c>
      <c r="R503" s="1" t="str" cm="1">
        <f t="array" ref="R50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3" s="1">
        <f>IFERROR(Table1[[#This Row],[Cholesterol]]/Table1[[#This Row],[Max_Heart_Rate]],"")</f>
        <v>0.95336787564766834</v>
      </c>
    </row>
    <row r="504" spans="1:19">
      <c r="A504" s="3" t="s">
        <v>524</v>
      </c>
      <c r="B504" s="3" t="str">
        <f>RIGHT(Table1[[#This Row],[Patient_ID]],4)</f>
        <v>1502</v>
      </c>
      <c r="C504" s="1">
        <v>75</v>
      </c>
      <c r="D504" s="1" t="str">
        <f>VLOOKUP(Table1[[#This Row],[Age]],'Lookup &amp; Reference'!$G$2:$H$5,2,1)</f>
        <v>High</v>
      </c>
      <c r="E504" s="1" t="s">
        <v>18</v>
      </c>
      <c r="F504" s="1" t="str">
        <f>_xlfn.CONCAT(LEFT(Table1[[#This Row],[Gender]],1),Table1[[#This Row],[Age]])</f>
        <v>M75</v>
      </c>
      <c r="G504" s="1" t="s">
        <v>22</v>
      </c>
      <c r="H504" s="1">
        <f>LEN(Table1[[#This Row],[Chest_Pain_Type]])</f>
        <v>15</v>
      </c>
      <c r="I504" s="1">
        <v>165</v>
      </c>
      <c r="J504" s="1" t="str" cm="1">
        <f t="array" ref="J50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04" s="1">
        <v>240</v>
      </c>
      <c r="L504" s="1" t="s">
        <v>14</v>
      </c>
      <c r="M504" s="1" t="str">
        <f>IF(Table1[[#This Row],[Fasting_Blood_Sugar]]="Yes","Diabetic Risk","Normal")</f>
        <v>Normal</v>
      </c>
      <c r="N504" s="1" t="s">
        <v>15</v>
      </c>
      <c r="O504" s="1">
        <v>143</v>
      </c>
      <c r="P504" s="1" t="s">
        <v>14</v>
      </c>
      <c r="Q504" s="4" t="s">
        <v>16</v>
      </c>
      <c r="R504" s="1" t="str" cm="1">
        <f t="array" ref="R50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04" s="1">
        <f>IFERROR(Table1[[#This Row],[Cholesterol]]/Table1[[#This Row],[Max_Heart_Rate]],"")</f>
        <v>1.6783216783216783</v>
      </c>
    </row>
    <row r="505" spans="1:19">
      <c r="A505" s="3" t="s">
        <v>525</v>
      </c>
      <c r="B505" s="3" t="str">
        <f>RIGHT(Table1[[#This Row],[Patient_ID]],4)</f>
        <v>1503</v>
      </c>
      <c r="C505" s="1">
        <v>77</v>
      </c>
      <c r="D505" s="1" t="str">
        <f>VLOOKUP(Table1[[#This Row],[Age]],'Lookup &amp; Reference'!$G$2:$H$5,2,1)</f>
        <v>High</v>
      </c>
      <c r="E505" s="1" t="s">
        <v>18</v>
      </c>
      <c r="F505" s="1" t="str">
        <f>_xlfn.CONCAT(LEFT(Table1[[#This Row],[Gender]],1),Table1[[#This Row],[Age]])</f>
        <v>M77</v>
      </c>
      <c r="G505" s="1" t="s">
        <v>22</v>
      </c>
      <c r="H505" s="1">
        <f>LEN(Table1[[#This Row],[Chest_Pain_Type]])</f>
        <v>15</v>
      </c>
      <c r="I505" s="1">
        <v>97</v>
      </c>
      <c r="J505" s="1" t="str" cm="1">
        <f t="array" ref="J50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05" s="1">
        <v>149</v>
      </c>
      <c r="L505" s="1" t="s">
        <v>16</v>
      </c>
      <c r="M505" s="1" t="str">
        <f>IF(Table1[[#This Row],[Fasting_Blood_Sugar]]="Yes","Diabetic Risk","Normal")</f>
        <v>Diabetic Risk</v>
      </c>
      <c r="N505" s="1" t="s">
        <v>20</v>
      </c>
      <c r="O505" s="1">
        <v>143</v>
      </c>
      <c r="P505" s="1" t="s">
        <v>16</v>
      </c>
      <c r="Q505" s="4" t="s">
        <v>16</v>
      </c>
      <c r="R505" s="1" t="str" cm="1">
        <f t="array" ref="R50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05" s="1">
        <f>IFERROR(Table1[[#This Row],[Cholesterol]]/Table1[[#This Row],[Max_Heart_Rate]],"")</f>
        <v>1.0419580419580419</v>
      </c>
    </row>
    <row r="506" spans="1:19">
      <c r="A506" s="3" t="s">
        <v>526</v>
      </c>
      <c r="B506" s="3" t="str">
        <f>RIGHT(Table1[[#This Row],[Patient_ID]],4)</f>
        <v>1504</v>
      </c>
      <c r="C506" s="1">
        <v>58</v>
      </c>
      <c r="D506" s="1" t="str">
        <f>VLOOKUP(Table1[[#This Row],[Age]],'Lookup &amp; Reference'!$G$2:$H$5,2,1)</f>
        <v>Medium</v>
      </c>
      <c r="E506" s="1" t="s">
        <v>12</v>
      </c>
      <c r="F506" s="1" t="str">
        <f>_xlfn.CONCAT(LEFT(Table1[[#This Row],[Gender]],1),Table1[[#This Row],[Age]])</f>
        <v>F58</v>
      </c>
      <c r="G506" s="1" t="s">
        <v>19</v>
      </c>
      <c r="H506" s="1">
        <f>LEN(Table1[[#This Row],[Chest_Pain_Type]])</f>
        <v>14</v>
      </c>
      <c r="I506" s="1">
        <v>161</v>
      </c>
      <c r="J506" s="1" t="str" cm="1">
        <f t="array" ref="J50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06" s="1">
        <v>268</v>
      </c>
      <c r="L506" s="1" t="s">
        <v>16</v>
      </c>
      <c r="M506" s="1" t="str">
        <f>IF(Table1[[#This Row],[Fasting_Blood_Sugar]]="Yes","Diabetic Risk","Normal")</f>
        <v>Diabetic Risk</v>
      </c>
      <c r="N506" s="1" t="s">
        <v>27</v>
      </c>
      <c r="O506" s="1">
        <v>154</v>
      </c>
      <c r="P506" s="1" t="s">
        <v>16</v>
      </c>
      <c r="Q506" s="4" t="s">
        <v>16</v>
      </c>
      <c r="R506" s="1" t="str" cm="1">
        <f t="array" ref="R50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06" s="1">
        <f>IFERROR(Table1[[#This Row],[Cholesterol]]/Table1[[#This Row],[Max_Heart_Rate]],"")</f>
        <v>1.7402597402597402</v>
      </c>
    </row>
    <row r="507" spans="1:19">
      <c r="A507" s="3" t="s">
        <v>527</v>
      </c>
      <c r="B507" s="3" t="str">
        <f>RIGHT(Table1[[#This Row],[Patient_ID]],4)</f>
        <v>1505</v>
      </c>
      <c r="C507" s="1">
        <v>74</v>
      </c>
      <c r="D507" s="1" t="str">
        <f>VLOOKUP(Table1[[#This Row],[Age]],'Lookup &amp; Reference'!$G$2:$H$5,2,1)</f>
        <v>High</v>
      </c>
      <c r="E507" s="1" t="s">
        <v>18</v>
      </c>
      <c r="F507" s="1" t="str">
        <f>_xlfn.CONCAT(LEFT(Table1[[#This Row],[Gender]],1),Table1[[#This Row],[Age]])</f>
        <v>M74</v>
      </c>
      <c r="G507" s="1" t="s">
        <v>13</v>
      </c>
      <c r="H507" s="1">
        <f>LEN(Table1[[#This Row],[Chest_Pain_Type]])</f>
        <v>11</v>
      </c>
      <c r="I507" s="1">
        <v>139</v>
      </c>
      <c r="J507" s="1" t="str" cm="1">
        <f t="array" ref="J507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07" s="1">
        <v>203</v>
      </c>
      <c r="L507" s="1" t="s">
        <v>16</v>
      </c>
      <c r="M507" s="1" t="str">
        <f>IF(Table1[[#This Row],[Fasting_Blood_Sugar]]="Yes","Diabetic Risk","Normal")</f>
        <v>Diabetic Risk</v>
      </c>
      <c r="N507" s="1" t="s">
        <v>27</v>
      </c>
      <c r="O507" s="1">
        <v>189</v>
      </c>
      <c r="P507" s="1" t="s">
        <v>16</v>
      </c>
      <c r="Q507" s="4" t="s">
        <v>14</v>
      </c>
      <c r="R507" s="1" t="str" cm="1">
        <f t="array" ref="R50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7" s="1">
        <f>IFERROR(Table1[[#This Row],[Cholesterol]]/Table1[[#This Row],[Max_Heart_Rate]],"")</f>
        <v>1.0740740740740742</v>
      </c>
    </row>
    <row r="508" spans="1:19">
      <c r="A508" s="3" t="s">
        <v>528</v>
      </c>
      <c r="B508" s="3" t="str">
        <f>RIGHT(Table1[[#This Row],[Patient_ID]],4)</f>
        <v>1506</v>
      </c>
      <c r="C508" s="1">
        <v>33</v>
      </c>
      <c r="D508" s="1" t="str">
        <f>VLOOKUP(Table1[[#This Row],[Age]],'Lookup &amp; Reference'!$G$2:$H$5,2,1)</f>
        <v>Low</v>
      </c>
      <c r="E508" s="1" t="s">
        <v>12</v>
      </c>
      <c r="F508" s="1" t="str">
        <f>_xlfn.CONCAT(LEFT(Table1[[#This Row],[Gender]],1),Table1[[#This Row],[Age]])</f>
        <v>F33</v>
      </c>
      <c r="G508" s="1" t="s">
        <v>19</v>
      </c>
      <c r="H508" s="1">
        <f>LEN(Table1[[#This Row],[Chest_Pain_Type]])</f>
        <v>14</v>
      </c>
      <c r="I508" s="1">
        <v>181</v>
      </c>
      <c r="J508" s="1" t="str" cm="1">
        <f t="array" ref="J50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08" s="1">
        <v>317</v>
      </c>
      <c r="L508" s="1" t="s">
        <v>16</v>
      </c>
      <c r="M508" s="1" t="str">
        <f>IF(Table1[[#This Row],[Fasting_Blood_Sugar]]="Yes","Diabetic Risk","Normal")</f>
        <v>Diabetic Risk</v>
      </c>
      <c r="N508" s="1" t="s">
        <v>15</v>
      </c>
      <c r="O508" s="1">
        <v>110</v>
      </c>
      <c r="P508" s="1" t="s">
        <v>14</v>
      </c>
      <c r="Q508" s="4" t="s">
        <v>14</v>
      </c>
      <c r="R508" s="1" t="str" cm="1">
        <f t="array" ref="R50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8" s="1">
        <f>IFERROR(Table1[[#This Row],[Cholesterol]]/Table1[[#This Row],[Max_Heart_Rate]],"")</f>
        <v>2.8818181818181818</v>
      </c>
    </row>
    <row r="509" spans="1:19">
      <c r="A509" s="3" t="s">
        <v>529</v>
      </c>
      <c r="B509" s="3" t="str">
        <f>RIGHT(Table1[[#This Row],[Patient_ID]],4)</f>
        <v>1507</v>
      </c>
      <c r="C509" s="1">
        <v>40</v>
      </c>
      <c r="D509" s="1" t="str">
        <f>VLOOKUP(Table1[[#This Row],[Age]],'Lookup &amp; Reference'!$G$2:$H$5,2,1)</f>
        <v>Low</v>
      </c>
      <c r="E509" s="1" t="s">
        <v>12</v>
      </c>
      <c r="F509" s="1" t="str">
        <f>_xlfn.CONCAT(LEFT(Table1[[#This Row],[Gender]],1),Table1[[#This Row],[Age]])</f>
        <v>F40</v>
      </c>
      <c r="G509" s="1" t="s">
        <v>13</v>
      </c>
      <c r="H509" s="1">
        <f>LEN(Table1[[#This Row],[Chest_Pain_Type]])</f>
        <v>11</v>
      </c>
      <c r="I509" s="1">
        <v>151</v>
      </c>
      <c r="J509" s="1" t="str" cm="1">
        <f t="array" ref="J50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09" s="1">
        <v>269</v>
      </c>
      <c r="L509" s="1" t="s">
        <v>14</v>
      </c>
      <c r="M509" s="1" t="str">
        <f>IF(Table1[[#This Row],[Fasting_Blood_Sugar]]="Yes","Diabetic Risk","Normal")</f>
        <v>Normal</v>
      </c>
      <c r="N509" s="1" t="s">
        <v>27</v>
      </c>
      <c r="O509" s="1">
        <v>196</v>
      </c>
      <c r="P509" s="1" t="s">
        <v>16</v>
      </c>
      <c r="Q509" s="4" t="s">
        <v>16</v>
      </c>
      <c r="R509" s="1" t="str" cm="1">
        <f t="array" ref="R50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09" s="1">
        <f>IFERROR(Table1[[#This Row],[Cholesterol]]/Table1[[#This Row],[Max_Heart_Rate]],"")</f>
        <v>1.3724489795918366</v>
      </c>
    </row>
    <row r="510" spans="1:19">
      <c r="A510" s="3" t="s">
        <v>530</v>
      </c>
      <c r="B510" s="3" t="str">
        <f>RIGHT(Table1[[#This Row],[Patient_ID]],4)</f>
        <v>1508</v>
      </c>
      <c r="C510" s="1">
        <v>44</v>
      </c>
      <c r="D510" s="1" t="str">
        <f>VLOOKUP(Table1[[#This Row],[Age]],'Lookup &amp; Reference'!$G$2:$H$5,2,1)</f>
        <v>Low</v>
      </c>
      <c r="E510" s="1" t="s">
        <v>18</v>
      </c>
      <c r="F510" s="1" t="str">
        <f>_xlfn.CONCAT(LEFT(Table1[[#This Row],[Gender]],1),Table1[[#This Row],[Age]])</f>
        <v>M44</v>
      </c>
      <c r="G510" s="1" t="s">
        <v>22</v>
      </c>
      <c r="H510" s="1">
        <f>LEN(Table1[[#This Row],[Chest_Pain_Type]])</f>
        <v>15</v>
      </c>
      <c r="I510" s="1">
        <v>173</v>
      </c>
      <c r="J510" s="1" t="str" cm="1">
        <f t="array" ref="J51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10" s="1">
        <v>329</v>
      </c>
      <c r="L510" s="1" t="s">
        <v>16</v>
      </c>
      <c r="M510" s="1" t="str">
        <f>IF(Table1[[#This Row],[Fasting_Blood_Sugar]]="Yes","Diabetic Risk","Normal")</f>
        <v>Diabetic Risk</v>
      </c>
      <c r="N510" s="1" t="s">
        <v>20</v>
      </c>
      <c r="O510" s="1">
        <v>188</v>
      </c>
      <c r="P510" s="1" t="s">
        <v>14</v>
      </c>
      <c r="Q510" s="4" t="s">
        <v>16</v>
      </c>
      <c r="R510" s="1" t="str" cm="1">
        <f t="array" ref="R51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10" s="1">
        <f>IFERROR(Table1[[#This Row],[Cholesterol]]/Table1[[#This Row],[Max_Heart_Rate]],"")</f>
        <v>1.75</v>
      </c>
    </row>
    <row r="511" spans="1:19">
      <c r="A511" s="3" t="s">
        <v>531</v>
      </c>
      <c r="B511" s="3" t="str">
        <f>RIGHT(Table1[[#This Row],[Patient_ID]],4)</f>
        <v>1509</v>
      </c>
      <c r="C511" s="1">
        <v>54</v>
      </c>
      <c r="D511" s="1" t="str">
        <f>VLOOKUP(Table1[[#This Row],[Age]],'Lookup &amp; Reference'!$G$2:$H$5,2,1)</f>
        <v>Medium</v>
      </c>
      <c r="E511" s="1" t="s">
        <v>18</v>
      </c>
      <c r="F511" s="1" t="str">
        <f>_xlfn.CONCAT(LEFT(Table1[[#This Row],[Gender]],1),Table1[[#This Row],[Age]])</f>
        <v>M54</v>
      </c>
      <c r="G511" s="1" t="s">
        <v>13</v>
      </c>
      <c r="H511" s="1">
        <f>LEN(Table1[[#This Row],[Chest_Pain_Type]])</f>
        <v>11</v>
      </c>
      <c r="I511" s="1">
        <v>151</v>
      </c>
      <c r="J511" s="1" t="str" cm="1">
        <f t="array" ref="J51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11" s="1">
        <v>319</v>
      </c>
      <c r="L511" s="1" t="s">
        <v>14</v>
      </c>
      <c r="M511" s="1" t="str">
        <f>IF(Table1[[#This Row],[Fasting_Blood_Sugar]]="Yes","Diabetic Risk","Normal")</f>
        <v>Normal</v>
      </c>
      <c r="N511" s="1" t="s">
        <v>27</v>
      </c>
      <c r="O511" s="1">
        <v>102</v>
      </c>
      <c r="P511" s="1" t="s">
        <v>14</v>
      </c>
      <c r="Q511" s="4" t="s">
        <v>14</v>
      </c>
      <c r="R511" s="1" t="str" cm="1">
        <f t="array" ref="R51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11" s="1">
        <f>IFERROR(Table1[[#This Row],[Cholesterol]]/Table1[[#This Row],[Max_Heart_Rate]],"")</f>
        <v>3.1274509803921569</v>
      </c>
    </row>
    <row r="512" spans="1:19">
      <c r="A512" s="3" t="s">
        <v>532</v>
      </c>
      <c r="B512" s="3" t="str">
        <f>RIGHT(Table1[[#This Row],[Patient_ID]],4)</f>
        <v>1510</v>
      </c>
      <c r="C512" s="1">
        <v>54</v>
      </c>
      <c r="D512" s="1" t="str">
        <f>VLOOKUP(Table1[[#This Row],[Age]],'Lookup &amp; Reference'!$G$2:$H$5,2,1)</f>
        <v>Medium</v>
      </c>
      <c r="E512" s="1" t="s">
        <v>18</v>
      </c>
      <c r="F512" s="1" t="str">
        <f>_xlfn.CONCAT(LEFT(Table1[[#This Row],[Gender]],1),Table1[[#This Row],[Age]])</f>
        <v>M54</v>
      </c>
      <c r="G512" s="1" t="s">
        <v>25</v>
      </c>
      <c r="H512" s="1">
        <f>LEN(Table1[[#This Row],[Chest_Pain_Type]])</f>
        <v>12</v>
      </c>
      <c r="I512" s="1">
        <v>96</v>
      </c>
      <c r="J512" s="1" t="str" cm="1">
        <f t="array" ref="J51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12" s="1">
        <v>151</v>
      </c>
      <c r="L512" s="1" t="s">
        <v>16</v>
      </c>
      <c r="M512" s="1" t="str">
        <f>IF(Table1[[#This Row],[Fasting_Blood_Sugar]]="Yes","Diabetic Risk","Normal")</f>
        <v>Diabetic Risk</v>
      </c>
      <c r="N512" s="1" t="s">
        <v>15</v>
      </c>
      <c r="O512" s="1">
        <v>146</v>
      </c>
      <c r="P512" s="1" t="s">
        <v>14</v>
      </c>
      <c r="Q512" s="4" t="s">
        <v>16</v>
      </c>
      <c r="R512" s="1" t="str" cm="1">
        <f t="array" ref="R51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12" s="1">
        <f>IFERROR(Table1[[#This Row],[Cholesterol]]/Table1[[#This Row],[Max_Heart_Rate]],"")</f>
        <v>1.0342465753424657</v>
      </c>
    </row>
    <row r="513" spans="1:19">
      <c r="A513" s="3" t="s">
        <v>533</v>
      </c>
      <c r="B513" s="3" t="str">
        <f>RIGHT(Table1[[#This Row],[Patient_ID]],4)</f>
        <v>1511</v>
      </c>
      <c r="C513" s="1">
        <v>76</v>
      </c>
      <c r="D513" s="1" t="str">
        <f>VLOOKUP(Table1[[#This Row],[Age]],'Lookup &amp; Reference'!$G$2:$H$5,2,1)</f>
        <v>High</v>
      </c>
      <c r="E513" s="1" t="s">
        <v>12</v>
      </c>
      <c r="F513" s="1" t="str">
        <f>_xlfn.CONCAT(LEFT(Table1[[#This Row],[Gender]],1),Table1[[#This Row],[Age]])</f>
        <v>F76</v>
      </c>
      <c r="G513" s="1" t="s">
        <v>22</v>
      </c>
      <c r="H513" s="1">
        <f>LEN(Table1[[#This Row],[Chest_Pain_Type]])</f>
        <v>15</v>
      </c>
      <c r="I513" s="1">
        <v>164</v>
      </c>
      <c r="J513" s="1" t="str" cm="1">
        <f t="array" ref="J51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13" s="1">
        <v>280</v>
      </c>
      <c r="L513" s="1" t="s">
        <v>16</v>
      </c>
      <c r="M513" s="1" t="str">
        <f>IF(Table1[[#This Row],[Fasting_Blood_Sugar]]="Yes","Diabetic Risk","Normal")</f>
        <v>Diabetic Risk</v>
      </c>
      <c r="N513" s="1" t="s">
        <v>15</v>
      </c>
      <c r="O513" s="1">
        <v>138</v>
      </c>
      <c r="P513" s="1" t="s">
        <v>16</v>
      </c>
      <c r="Q513" s="4" t="s">
        <v>14</v>
      </c>
      <c r="R513" s="1" t="str" cm="1">
        <f t="array" ref="R51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13" s="1">
        <f>IFERROR(Table1[[#This Row],[Cholesterol]]/Table1[[#This Row],[Max_Heart_Rate]],"")</f>
        <v>2.0289855072463769</v>
      </c>
    </row>
    <row r="514" spans="1:19">
      <c r="A514" s="3" t="s">
        <v>534</v>
      </c>
      <c r="B514" s="3" t="str">
        <f>RIGHT(Table1[[#This Row],[Patient_ID]],4)</f>
        <v>1512</v>
      </c>
      <c r="C514" s="1">
        <v>49</v>
      </c>
      <c r="D514" s="1" t="str">
        <f>VLOOKUP(Table1[[#This Row],[Age]],'Lookup &amp; Reference'!$G$2:$H$5,2,1)</f>
        <v>Medium</v>
      </c>
      <c r="E514" s="1" t="s">
        <v>18</v>
      </c>
      <c r="F514" s="1" t="str">
        <f>_xlfn.CONCAT(LEFT(Table1[[#This Row],[Gender]],1),Table1[[#This Row],[Age]])</f>
        <v>M49</v>
      </c>
      <c r="G514" s="1" t="s">
        <v>25</v>
      </c>
      <c r="H514" s="1">
        <f>LEN(Table1[[#This Row],[Chest_Pain_Type]])</f>
        <v>12</v>
      </c>
      <c r="I514" s="1">
        <v>173</v>
      </c>
      <c r="J514" s="1" t="str" cm="1">
        <f t="array" ref="J51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14" s="1">
        <v>135</v>
      </c>
      <c r="L514" s="1" t="s">
        <v>14</v>
      </c>
      <c r="M514" s="1" t="str">
        <f>IF(Table1[[#This Row],[Fasting_Blood_Sugar]]="Yes","Diabetic Risk","Normal")</f>
        <v>Normal</v>
      </c>
      <c r="N514" s="1" t="s">
        <v>20</v>
      </c>
      <c r="O514" s="1">
        <v>207</v>
      </c>
      <c r="P514" s="1" t="s">
        <v>14</v>
      </c>
      <c r="Q514" s="4" t="s">
        <v>16</v>
      </c>
      <c r="R514" s="1" t="str" cm="1">
        <f t="array" ref="R51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14" s="1">
        <f>IFERROR(Table1[[#This Row],[Cholesterol]]/Table1[[#This Row],[Max_Heart_Rate]],"")</f>
        <v>0.65217391304347827</v>
      </c>
    </row>
    <row r="515" spans="1:19">
      <c r="A515" s="3" t="s">
        <v>535</v>
      </c>
      <c r="B515" s="3" t="str">
        <f>RIGHT(Table1[[#This Row],[Patient_ID]],4)</f>
        <v>1513</v>
      </c>
      <c r="C515" s="1">
        <v>67</v>
      </c>
      <c r="D515" s="1" t="str">
        <f>VLOOKUP(Table1[[#This Row],[Age]],'Lookup &amp; Reference'!$G$2:$H$5,2,1)</f>
        <v>High</v>
      </c>
      <c r="E515" s="1" t="s">
        <v>12</v>
      </c>
      <c r="F515" s="1" t="str">
        <f>_xlfn.CONCAT(LEFT(Table1[[#This Row],[Gender]],1),Table1[[#This Row],[Age]])</f>
        <v>F67</v>
      </c>
      <c r="G515" s="1" t="s">
        <v>19</v>
      </c>
      <c r="H515" s="1">
        <f>LEN(Table1[[#This Row],[Chest_Pain_Type]])</f>
        <v>14</v>
      </c>
      <c r="I515" s="1">
        <v>169</v>
      </c>
      <c r="J515" s="1" t="str" cm="1">
        <f t="array" ref="J51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15" s="1">
        <v>323</v>
      </c>
      <c r="L515" s="1" t="s">
        <v>16</v>
      </c>
      <c r="M515" s="1" t="str">
        <f>IF(Table1[[#This Row],[Fasting_Blood_Sugar]]="Yes","Diabetic Risk","Normal")</f>
        <v>Diabetic Risk</v>
      </c>
      <c r="N515" s="1" t="s">
        <v>20</v>
      </c>
      <c r="O515" s="1">
        <v>143</v>
      </c>
      <c r="P515" s="1" t="s">
        <v>14</v>
      </c>
      <c r="Q515" s="4" t="s">
        <v>16</v>
      </c>
      <c r="R515" s="1" t="str" cm="1">
        <f t="array" ref="R51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15" s="1">
        <f>IFERROR(Table1[[#This Row],[Cholesterol]]/Table1[[#This Row],[Max_Heart_Rate]],"")</f>
        <v>2.2587412587412588</v>
      </c>
    </row>
    <row r="516" spans="1:19">
      <c r="A516" s="3" t="s">
        <v>536</v>
      </c>
      <c r="B516" s="3" t="str">
        <f>RIGHT(Table1[[#This Row],[Patient_ID]],4)</f>
        <v>1514</v>
      </c>
      <c r="C516" s="1">
        <v>64</v>
      </c>
      <c r="D516" s="1" t="str">
        <f>VLOOKUP(Table1[[#This Row],[Age]],'Lookup &amp; Reference'!$G$2:$H$5,2,1)</f>
        <v>High</v>
      </c>
      <c r="E516" s="1" t="s">
        <v>18</v>
      </c>
      <c r="F516" s="1" t="str">
        <f>_xlfn.CONCAT(LEFT(Table1[[#This Row],[Gender]],1),Table1[[#This Row],[Age]])</f>
        <v>M64</v>
      </c>
      <c r="G516" s="1" t="s">
        <v>19</v>
      </c>
      <c r="H516" s="1">
        <f>LEN(Table1[[#This Row],[Chest_Pain_Type]])</f>
        <v>14</v>
      </c>
      <c r="I516" s="1">
        <v>93</v>
      </c>
      <c r="J516" s="1" t="str" cm="1">
        <f t="array" ref="J51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16" s="1">
        <v>157</v>
      </c>
      <c r="L516" s="1" t="s">
        <v>16</v>
      </c>
      <c r="M516" s="1" t="str">
        <f>IF(Table1[[#This Row],[Fasting_Blood_Sugar]]="Yes","Diabetic Risk","Normal")</f>
        <v>Diabetic Risk</v>
      </c>
      <c r="N516" s="1" t="s">
        <v>27</v>
      </c>
      <c r="O516" s="1">
        <v>99</v>
      </c>
      <c r="P516" s="1" t="s">
        <v>16</v>
      </c>
      <c r="Q516" s="4" t="s">
        <v>14</v>
      </c>
      <c r="R516" s="1" t="str" cm="1">
        <f t="array" ref="R51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16" s="1">
        <f>IFERROR(Table1[[#This Row],[Cholesterol]]/Table1[[#This Row],[Max_Heart_Rate]],"")</f>
        <v>1.5858585858585859</v>
      </c>
    </row>
    <row r="517" spans="1:19">
      <c r="A517" s="3" t="s">
        <v>537</v>
      </c>
      <c r="B517" s="3" t="str">
        <f>RIGHT(Table1[[#This Row],[Patient_ID]],4)</f>
        <v>1515</v>
      </c>
      <c r="C517" s="1">
        <v>61</v>
      </c>
      <c r="D517" s="1" t="str">
        <f>VLOOKUP(Table1[[#This Row],[Age]],'Lookup &amp; Reference'!$G$2:$H$5,2,1)</f>
        <v>High</v>
      </c>
      <c r="E517" s="1" t="s">
        <v>12</v>
      </c>
      <c r="F517" s="1" t="str">
        <f>_xlfn.CONCAT(LEFT(Table1[[#This Row],[Gender]],1),Table1[[#This Row],[Age]])</f>
        <v>F61</v>
      </c>
      <c r="G517" s="1" t="s">
        <v>19</v>
      </c>
      <c r="H517" s="1">
        <f>LEN(Table1[[#This Row],[Chest_Pain_Type]])</f>
        <v>14</v>
      </c>
      <c r="I517" s="1">
        <v>95</v>
      </c>
      <c r="J517" s="1" t="str" cm="1">
        <f t="array" ref="J51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17" s="1">
        <v>345</v>
      </c>
      <c r="L517" s="1" t="s">
        <v>16</v>
      </c>
      <c r="M517" s="1" t="str">
        <f>IF(Table1[[#This Row],[Fasting_Blood_Sugar]]="Yes","Diabetic Risk","Normal")</f>
        <v>Diabetic Risk</v>
      </c>
      <c r="N517" s="1" t="s">
        <v>27</v>
      </c>
      <c r="O517" s="1">
        <v>142</v>
      </c>
      <c r="P517" s="1" t="s">
        <v>16</v>
      </c>
      <c r="Q517" s="4" t="s">
        <v>16</v>
      </c>
      <c r="R517" s="1" t="str" cm="1">
        <f t="array" ref="R51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17" s="1">
        <f>IFERROR(Table1[[#This Row],[Cholesterol]]/Table1[[#This Row],[Max_Heart_Rate]],"")</f>
        <v>2.4295774647887325</v>
      </c>
    </row>
    <row r="518" spans="1:19">
      <c r="A518" s="3" t="s">
        <v>538</v>
      </c>
      <c r="B518" s="3" t="str">
        <f>RIGHT(Table1[[#This Row],[Patient_ID]],4)</f>
        <v>1516</v>
      </c>
      <c r="C518" s="1">
        <v>58</v>
      </c>
      <c r="D518" s="1" t="str">
        <f>VLOOKUP(Table1[[#This Row],[Age]],'Lookup &amp; Reference'!$G$2:$H$5,2,1)</f>
        <v>Medium</v>
      </c>
      <c r="E518" s="1" t="s">
        <v>12</v>
      </c>
      <c r="F518" s="1" t="str">
        <f>_xlfn.CONCAT(LEFT(Table1[[#This Row],[Gender]],1),Table1[[#This Row],[Age]])</f>
        <v>F58</v>
      </c>
      <c r="G518" s="1" t="s">
        <v>13</v>
      </c>
      <c r="H518" s="1">
        <f>LEN(Table1[[#This Row],[Chest_Pain_Type]])</f>
        <v>11</v>
      </c>
      <c r="I518" s="1">
        <v>147</v>
      </c>
      <c r="J518" s="1" t="str" cm="1">
        <f t="array" ref="J51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18" s="1">
        <v>261</v>
      </c>
      <c r="L518" s="1" t="s">
        <v>16</v>
      </c>
      <c r="M518" s="1" t="str">
        <f>IF(Table1[[#This Row],[Fasting_Blood_Sugar]]="Yes","Diabetic Risk","Normal")</f>
        <v>Diabetic Risk</v>
      </c>
      <c r="N518" s="1" t="s">
        <v>15</v>
      </c>
      <c r="O518" s="1">
        <v>133</v>
      </c>
      <c r="P518" s="1" t="s">
        <v>14</v>
      </c>
      <c r="Q518" s="4" t="s">
        <v>16</v>
      </c>
      <c r="R518" s="1" t="str" cm="1">
        <f t="array" ref="R51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18" s="1">
        <f>IFERROR(Table1[[#This Row],[Cholesterol]]/Table1[[#This Row],[Max_Heart_Rate]],"")</f>
        <v>1.9624060150375939</v>
      </c>
    </row>
    <row r="519" spans="1:19">
      <c r="A519" s="3" t="s">
        <v>539</v>
      </c>
      <c r="B519" s="3" t="str">
        <f>RIGHT(Table1[[#This Row],[Patient_ID]],4)</f>
        <v>1517</v>
      </c>
      <c r="C519" s="1">
        <v>65</v>
      </c>
      <c r="D519" s="1" t="str">
        <f>VLOOKUP(Table1[[#This Row],[Age]],'Lookup &amp; Reference'!$G$2:$H$5,2,1)</f>
        <v>High</v>
      </c>
      <c r="E519" s="1" t="s">
        <v>18</v>
      </c>
      <c r="F519" s="1" t="str">
        <f>_xlfn.CONCAT(LEFT(Table1[[#This Row],[Gender]],1),Table1[[#This Row],[Age]])</f>
        <v>M65</v>
      </c>
      <c r="G519" s="1" t="s">
        <v>22</v>
      </c>
      <c r="H519" s="1">
        <f>LEN(Table1[[#This Row],[Chest_Pain_Type]])</f>
        <v>15</v>
      </c>
      <c r="I519" s="1">
        <v>111</v>
      </c>
      <c r="J519" s="1" t="str" cm="1">
        <f t="array" ref="J51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19" s="1">
        <v>155</v>
      </c>
      <c r="L519" s="1" t="s">
        <v>14</v>
      </c>
      <c r="M519" s="1" t="str">
        <f>IF(Table1[[#This Row],[Fasting_Blood_Sugar]]="Yes","Diabetic Risk","Normal")</f>
        <v>Normal</v>
      </c>
      <c r="N519" s="1" t="s">
        <v>20</v>
      </c>
      <c r="O519" s="1">
        <v>136</v>
      </c>
      <c r="P519" s="1" t="s">
        <v>14</v>
      </c>
      <c r="Q519" s="4" t="s">
        <v>16</v>
      </c>
      <c r="R519" s="1" t="str" cm="1">
        <f t="array" ref="R51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19" s="1">
        <f>IFERROR(Table1[[#This Row],[Cholesterol]]/Table1[[#This Row],[Max_Heart_Rate]],"")</f>
        <v>1.1397058823529411</v>
      </c>
    </row>
    <row r="520" spans="1:19">
      <c r="A520" s="3" t="s">
        <v>540</v>
      </c>
      <c r="B520" s="3" t="str">
        <f>RIGHT(Table1[[#This Row],[Patient_ID]],4)</f>
        <v>1518</v>
      </c>
      <c r="C520" s="1">
        <v>51</v>
      </c>
      <c r="D520" s="1" t="str">
        <f>VLOOKUP(Table1[[#This Row],[Age]],'Lookup &amp; Reference'!$G$2:$H$5,2,1)</f>
        <v>Medium</v>
      </c>
      <c r="E520" s="1" t="s">
        <v>12</v>
      </c>
      <c r="F520" s="1" t="str">
        <f>_xlfn.CONCAT(LEFT(Table1[[#This Row],[Gender]],1),Table1[[#This Row],[Age]])</f>
        <v>F51</v>
      </c>
      <c r="G520" s="1" t="s">
        <v>19</v>
      </c>
      <c r="H520" s="1">
        <f>LEN(Table1[[#This Row],[Chest_Pain_Type]])</f>
        <v>14</v>
      </c>
      <c r="I520" s="1">
        <v>115</v>
      </c>
      <c r="J520" s="1" t="str" cm="1">
        <f t="array" ref="J52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20" s="1">
        <v>344</v>
      </c>
      <c r="L520" s="1" t="s">
        <v>14</v>
      </c>
      <c r="M520" s="1" t="str">
        <f>IF(Table1[[#This Row],[Fasting_Blood_Sugar]]="Yes","Diabetic Risk","Normal")</f>
        <v>Normal</v>
      </c>
      <c r="N520" s="1" t="s">
        <v>20</v>
      </c>
      <c r="O520" s="1">
        <v>142</v>
      </c>
      <c r="P520" s="1" t="s">
        <v>16</v>
      </c>
      <c r="Q520" s="4" t="s">
        <v>14</v>
      </c>
      <c r="R520" s="1" t="str" cm="1">
        <f t="array" ref="R52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0" s="1">
        <f>IFERROR(Table1[[#This Row],[Cholesterol]]/Table1[[#This Row],[Max_Heart_Rate]],"")</f>
        <v>2.4225352112676055</v>
      </c>
    </row>
    <row r="521" spans="1:19">
      <c r="A521" s="3" t="s">
        <v>541</v>
      </c>
      <c r="B521" s="3" t="str">
        <f>RIGHT(Table1[[#This Row],[Patient_ID]],4)</f>
        <v>1519</v>
      </c>
      <c r="C521" s="1">
        <v>38</v>
      </c>
      <c r="D521" s="1" t="str">
        <f>VLOOKUP(Table1[[#This Row],[Age]],'Lookup &amp; Reference'!$G$2:$H$5,2,1)</f>
        <v>Low</v>
      </c>
      <c r="E521" s="1" t="s">
        <v>12</v>
      </c>
      <c r="F521" s="1" t="str">
        <f>_xlfn.CONCAT(LEFT(Table1[[#This Row],[Gender]],1),Table1[[#This Row],[Age]])</f>
        <v>F38</v>
      </c>
      <c r="G521" s="1" t="s">
        <v>19</v>
      </c>
      <c r="H521" s="1">
        <f>LEN(Table1[[#This Row],[Chest_Pain_Type]])</f>
        <v>14</v>
      </c>
      <c r="I521" s="1">
        <v>92</v>
      </c>
      <c r="J521" s="1" t="str" cm="1">
        <f t="array" ref="J52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21" s="1">
        <v>270</v>
      </c>
      <c r="L521" s="1" t="s">
        <v>16</v>
      </c>
      <c r="M521" s="1" t="str">
        <f>IF(Table1[[#This Row],[Fasting_Blood_Sugar]]="Yes","Diabetic Risk","Normal")</f>
        <v>Diabetic Risk</v>
      </c>
      <c r="N521" s="1" t="s">
        <v>20</v>
      </c>
      <c r="O521" s="1">
        <v>163</v>
      </c>
      <c r="P521" s="1" t="s">
        <v>16</v>
      </c>
      <c r="Q521" s="4" t="s">
        <v>16</v>
      </c>
      <c r="R521" s="1" t="str" cm="1">
        <f t="array" ref="R52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1" s="1">
        <f>IFERROR(Table1[[#This Row],[Cholesterol]]/Table1[[#This Row],[Max_Heart_Rate]],"")</f>
        <v>1.656441717791411</v>
      </c>
    </row>
    <row r="522" spans="1:19">
      <c r="A522" s="3" t="s">
        <v>542</v>
      </c>
      <c r="B522" s="3" t="str">
        <f>RIGHT(Table1[[#This Row],[Patient_ID]],4)</f>
        <v>1520</v>
      </c>
      <c r="C522" s="1">
        <v>33</v>
      </c>
      <c r="D522" s="1" t="str">
        <f>VLOOKUP(Table1[[#This Row],[Age]],'Lookup &amp; Reference'!$G$2:$H$5,2,1)</f>
        <v>Low</v>
      </c>
      <c r="E522" s="1" t="s">
        <v>18</v>
      </c>
      <c r="F522" s="1" t="str">
        <f>_xlfn.CONCAT(LEFT(Table1[[#This Row],[Gender]],1),Table1[[#This Row],[Age]])</f>
        <v>M33</v>
      </c>
      <c r="G522" s="1" t="s">
        <v>22</v>
      </c>
      <c r="H522" s="1">
        <f>LEN(Table1[[#This Row],[Chest_Pain_Type]])</f>
        <v>15</v>
      </c>
      <c r="I522" s="1">
        <v>130</v>
      </c>
      <c r="J522" s="1" t="str" cm="1">
        <f t="array" ref="J52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22" s="1">
        <v>233</v>
      </c>
      <c r="L522" s="1" t="s">
        <v>16</v>
      </c>
      <c r="M522" s="1" t="str">
        <f>IF(Table1[[#This Row],[Fasting_Blood_Sugar]]="Yes","Diabetic Risk","Normal")</f>
        <v>Diabetic Risk</v>
      </c>
      <c r="N522" s="1" t="s">
        <v>27</v>
      </c>
      <c r="O522" s="1">
        <v>135</v>
      </c>
      <c r="P522" s="1" t="s">
        <v>16</v>
      </c>
      <c r="Q522" s="4" t="s">
        <v>16</v>
      </c>
      <c r="R522" s="1" t="str" cm="1">
        <f t="array" ref="R52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2" s="1">
        <f>IFERROR(Table1[[#This Row],[Cholesterol]]/Table1[[#This Row],[Max_Heart_Rate]],"")</f>
        <v>1.7259259259259259</v>
      </c>
    </row>
    <row r="523" spans="1:19">
      <c r="A523" s="3" t="s">
        <v>543</v>
      </c>
      <c r="B523" s="3" t="str">
        <f>RIGHT(Table1[[#This Row],[Patient_ID]],4)</f>
        <v>1521</v>
      </c>
      <c r="C523" s="1">
        <v>64</v>
      </c>
      <c r="D523" s="1" t="str">
        <f>VLOOKUP(Table1[[#This Row],[Age]],'Lookup &amp; Reference'!$G$2:$H$5,2,1)</f>
        <v>High</v>
      </c>
      <c r="E523" s="1" t="s">
        <v>12</v>
      </c>
      <c r="F523" s="1" t="str">
        <f>_xlfn.CONCAT(LEFT(Table1[[#This Row],[Gender]],1),Table1[[#This Row],[Age]])</f>
        <v>F64</v>
      </c>
      <c r="G523" s="1" t="s">
        <v>19</v>
      </c>
      <c r="H523" s="1">
        <f>LEN(Table1[[#This Row],[Chest_Pain_Type]])</f>
        <v>14</v>
      </c>
      <c r="I523" s="1">
        <v>149</v>
      </c>
      <c r="J523" s="1" t="str" cm="1">
        <f t="array" ref="J52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23" s="1">
        <v>185</v>
      </c>
      <c r="L523" s="1" t="s">
        <v>16</v>
      </c>
      <c r="M523" s="1" t="str">
        <f>IF(Table1[[#This Row],[Fasting_Blood_Sugar]]="Yes","Diabetic Risk","Normal")</f>
        <v>Diabetic Risk</v>
      </c>
      <c r="N523" s="1" t="s">
        <v>20</v>
      </c>
      <c r="O523" s="1">
        <v>102</v>
      </c>
      <c r="P523" s="1" t="s">
        <v>14</v>
      </c>
      <c r="Q523" s="4" t="s">
        <v>16</v>
      </c>
      <c r="R523" s="1" t="str" cm="1">
        <f t="array" ref="R52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23" s="1">
        <f>IFERROR(Table1[[#This Row],[Cholesterol]]/Table1[[#This Row],[Max_Heart_Rate]],"")</f>
        <v>1.8137254901960784</v>
      </c>
    </row>
    <row r="524" spans="1:19">
      <c r="A524" s="3" t="s">
        <v>544</v>
      </c>
      <c r="B524" s="3" t="str">
        <f>RIGHT(Table1[[#This Row],[Patient_ID]],4)</f>
        <v>1522</v>
      </c>
      <c r="C524" s="1">
        <v>62</v>
      </c>
      <c r="D524" s="1" t="str">
        <f>VLOOKUP(Table1[[#This Row],[Age]],'Lookup &amp; Reference'!$G$2:$H$5,2,1)</f>
        <v>High</v>
      </c>
      <c r="E524" s="1" t="s">
        <v>18</v>
      </c>
      <c r="F524" s="1" t="str">
        <f>_xlfn.CONCAT(LEFT(Table1[[#This Row],[Gender]],1),Table1[[#This Row],[Age]])</f>
        <v>M62</v>
      </c>
      <c r="G524" s="1" t="s">
        <v>25</v>
      </c>
      <c r="H524" s="1">
        <f>LEN(Table1[[#This Row],[Chest_Pain_Type]])</f>
        <v>12</v>
      </c>
      <c r="I524" s="1">
        <v>103</v>
      </c>
      <c r="J524" s="1" t="str" cm="1">
        <f t="array" ref="J52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24" s="1">
        <v>224</v>
      </c>
      <c r="L524" s="1" t="s">
        <v>14</v>
      </c>
      <c r="M524" s="1" t="str">
        <f>IF(Table1[[#This Row],[Fasting_Blood_Sugar]]="Yes","Diabetic Risk","Normal")</f>
        <v>Normal</v>
      </c>
      <c r="N524" s="1" t="s">
        <v>15</v>
      </c>
      <c r="O524" s="1">
        <v>126</v>
      </c>
      <c r="P524" s="1" t="s">
        <v>16</v>
      </c>
      <c r="Q524" s="4" t="s">
        <v>16</v>
      </c>
      <c r="R524" s="1" t="str" cm="1">
        <f t="array" ref="R52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24" s="1">
        <f>IFERROR(Table1[[#This Row],[Cholesterol]]/Table1[[#This Row],[Max_Heart_Rate]],"")</f>
        <v>1.7777777777777777</v>
      </c>
    </row>
    <row r="525" spans="1:19">
      <c r="A525" s="3" t="s">
        <v>545</v>
      </c>
      <c r="B525" s="3" t="str">
        <f>RIGHT(Table1[[#This Row],[Patient_ID]],4)</f>
        <v>1523</v>
      </c>
      <c r="C525" s="1">
        <v>59</v>
      </c>
      <c r="D525" s="1" t="str">
        <f>VLOOKUP(Table1[[#This Row],[Age]],'Lookup &amp; Reference'!$G$2:$H$5,2,1)</f>
        <v>Medium</v>
      </c>
      <c r="E525" s="1" t="s">
        <v>12</v>
      </c>
      <c r="F525" s="1" t="str">
        <f>_xlfn.CONCAT(LEFT(Table1[[#This Row],[Gender]],1),Table1[[#This Row],[Age]])</f>
        <v>F59</v>
      </c>
      <c r="G525" s="1" t="s">
        <v>22</v>
      </c>
      <c r="H525" s="1">
        <f>LEN(Table1[[#This Row],[Chest_Pain_Type]])</f>
        <v>15</v>
      </c>
      <c r="I525" s="1">
        <v>164</v>
      </c>
      <c r="J525" s="1" t="str" cm="1">
        <f t="array" ref="J52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25" s="1">
        <v>204</v>
      </c>
      <c r="L525" s="1" t="s">
        <v>14</v>
      </c>
      <c r="M525" s="1" t="str">
        <f>IF(Table1[[#This Row],[Fasting_Blood_Sugar]]="Yes","Diabetic Risk","Normal")</f>
        <v>Normal</v>
      </c>
      <c r="N525" s="1" t="s">
        <v>15</v>
      </c>
      <c r="O525" s="1">
        <v>191</v>
      </c>
      <c r="P525" s="1" t="s">
        <v>16</v>
      </c>
      <c r="Q525" s="4" t="s">
        <v>16</v>
      </c>
      <c r="R525" s="1" t="str" cm="1">
        <f t="array" ref="R52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25" s="1">
        <f>IFERROR(Table1[[#This Row],[Cholesterol]]/Table1[[#This Row],[Max_Heart_Rate]],"")</f>
        <v>1.0680628272251309</v>
      </c>
    </row>
    <row r="526" spans="1:19">
      <c r="A526" s="3" t="s">
        <v>546</v>
      </c>
      <c r="B526" s="3" t="str">
        <f>RIGHT(Table1[[#This Row],[Patient_ID]],4)</f>
        <v>1524</v>
      </c>
      <c r="C526" s="1">
        <v>38</v>
      </c>
      <c r="D526" s="1" t="str">
        <f>VLOOKUP(Table1[[#This Row],[Age]],'Lookup &amp; Reference'!$G$2:$H$5,2,1)</f>
        <v>Low</v>
      </c>
      <c r="E526" s="1" t="s">
        <v>18</v>
      </c>
      <c r="F526" s="1" t="str">
        <f>_xlfn.CONCAT(LEFT(Table1[[#This Row],[Gender]],1),Table1[[#This Row],[Age]])</f>
        <v>M38</v>
      </c>
      <c r="G526" s="1" t="s">
        <v>22</v>
      </c>
      <c r="H526" s="1">
        <f>LEN(Table1[[#This Row],[Chest_Pain_Type]])</f>
        <v>15</v>
      </c>
      <c r="I526" s="1">
        <v>171</v>
      </c>
      <c r="J526" s="1" t="str" cm="1">
        <f t="array" ref="J52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26" s="1">
        <v>121</v>
      </c>
      <c r="L526" s="1" t="s">
        <v>14</v>
      </c>
      <c r="M526" s="1" t="str">
        <f>IF(Table1[[#This Row],[Fasting_Blood_Sugar]]="Yes","Diabetic Risk","Normal")</f>
        <v>Normal</v>
      </c>
      <c r="N526" s="1" t="s">
        <v>27</v>
      </c>
      <c r="O526" s="1">
        <v>113</v>
      </c>
      <c r="P526" s="1" t="s">
        <v>16</v>
      </c>
      <c r="Q526" s="4" t="s">
        <v>16</v>
      </c>
      <c r="R526" s="1" t="str" cm="1">
        <f t="array" ref="R52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6" s="1">
        <f>IFERROR(Table1[[#This Row],[Cholesterol]]/Table1[[#This Row],[Max_Heart_Rate]],"")</f>
        <v>1.0707964601769913</v>
      </c>
    </row>
    <row r="527" spans="1:19">
      <c r="A527" s="3" t="s">
        <v>547</v>
      </c>
      <c r="B527" s="3" t="str">
        <f>RIGHT(Table1[[#This Row],[Patient_ID]],4)</f>
        <v>1525</v>
      </c>
      <c r="C527" s="1">
        <v>47</v>
      </c>
      <c r="D527" s="1" t="str">
        <f>VLOOKUP(Table1[[#This Row],[Age]],'Lookup &amp; Reference'!$G$2:$H$5,2,1)</f>
        <v>Medium</v>
      </c>
      <c r="E527" s="1" t="s">
        <v>18</v>
      </c>
      <c r="F527" s="1" t="str">
        <f>_xlfn.CONCAT(LEFT(Table1[[#This Row],[Gender]],1),Table1[[#This Row],[Age]])</f>
        <v>M47</v>
      </c>
      <c r="G527" s="1" t="s">
        <v>22</v>
      </c>
      <c r="H527" s="1">
        <f>LEN(Table1[[#This Row],[Chest_Pain_Type]])</f>
        <v>15</v>
      </c>
      <c r="I527" s="1">
        <v>101</v>
      </c>
      <c r="J527" s="1" t="str" cm="1">
        <f t="array" ref="J52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27" s="1">
        <v>338</v>
      </c>
      <c r="L527" s="1" t="s">
        <v>14</v>
      </c>
      <c r="M527" s="1" t="str">
        <f>IF(Table1[[#This Row],[Fasting_Blood_Sugar]]="Yes","Diabetic Risk","Normal")</f>
        <v>Normal</v>
      </c>
      <c r="N527" s="1" t="s">
        <v>27</v>
      </c>
      <c r="O527" s="1">
        <v>91</v>
      </c>
      <c r="P527" s="1" t="s">
        <v>14</v>
      </c>
      <c r="Q527" s="4" t="s">
        <v>14</v>
      </c>
      <c r="R527" s="1" t="str" cm="1">
        <f t="array" ref="R52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7" s="1">
        <f>IFERROR(Table1[[#This Row],[Cholesterol]]/Table1[[#This Row],[Max_Heart_Rate]],"")</f>
        <v>3.7142857142857144</v>
      </c>
    </row>
    <row r="528" spans="1:19">
      <c r="A528" s="3" t="s">
        <v>548</v>
      </c>
      <c r="B528" s="3" t="str">
        <f>RIGHT(Table1[[#This Row],[Patient_ID]],4)</f>
        <v>1526</v>
      </c>
      <c r="C528" s="1">
        <v>60</v>
      </c>
      <c r="D528" s="1" t="str">
        <f>VLOOKUP(Table1[[#This Row],[Age]],'Lookup &amp; Reference'!$G$2:$H$5,2,1)</f>
        <v>High</v>
      </c>
      <c r="E528" s="1" t="s">
        <v>12</v>
      </c>
      <c r="F528" s="1" t="str">
        <f>_xlfn.CONCAT(LEFT(Table1[[#This Row],[Gender]],1),Table1[[#This Row],[Age]])</f>
        <v>F60</v>
      </c>
      <c r="G528" s="1" t="s">
        <v>25</v>
      </c>
      <c r="H528" s="1">
        <f>LEN(Table1[[#This Row],[Chest_Pain_Type]])</f>
        <v>12</v>
      </c>
      <c r="I528" s="1">
        <v>176</v>
      </c>
      <c r="J528" s="1" t="str" cm="1">
        <f t="array" ref="J52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28" s="1">
        <v>320</v>
      </c>
      <c r="L528" s="1" t="s">
        <v>16</v>
      </c>
      <c r="M528" s="1" t="str">
        <f>IF(Table1[[#This Row],[Fasting_Blood_Sugar]]="Yes","Diabetic Risk","Normal")</f>
        <v>Diabetic Risk</v>
      </c>
      <c r="N528" s="1" t="s">
        <v>20</v>
      </c>
      <c r="O528" s="1">
        <v>175</v>
      </c>
      <c r="P528" s="1" t="s">
        <v>16</v>
      </c>
      <c r="Q528" s="4" t="s">
        <v>14</v>
      </c>
      <c r="R528" s="1" t="str" cm="1">
        <f t="array" ref="R52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8" s="1">
        <f>IFERROR(Table1[[#This Row],[Cholesterol]]/Table1[[#This Row],[Max_Heart_Rate]],"")</f>
        <v>1.8285714285714285</v>
      </c>
    </row>
    <row r="529" spans="1:19">
      <c r="A529" s="3" t="s">
        <v>549</v>
      </c>
      <c r="B529" s="3" t="str">
        <f>RIGHT(Table1[[#This Row],[Patient_ID]],4)</f>
        <v>1527</v>
      </c>
      <c r="C529" s="1">
        <v>29</v>
      </c>
      <c r="D529" s="1" t="e">
        <f>VLOOKUP(Table1[[#This Row],[Age]],'Lookup &amp; Reference'!$G$2:$H$5,2,1)</f>
        <v>#N/A</v>
      </c>
      <c r="E529" s="1" t="s">
        <v>12</v>
      </c>
      <c r="F529" s="1" t="str">
        <f>_xlfn.CONCAT(LEFT(Table1[[#This Row],[Gender]],1),Table1[[#This Row],[Age]])</f>
        <v>F29</v>
      </c>
      <c r="G529" s="1" t="s">
        <v>22</v>
      </c>
      <c r="H529" s="1">
        <f>LEN(Table1[[#This Row],[Chest_Pain_Type]])</f>
        <v>15</v>
      </c>
      <c r="I529" s="1">
        <v>101</v>
      </c>
      <c r="J529" s="1" t="str" cm="1">
        <f t="array" ref="J52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29" s="1">
        <v>312</v>
      </c>
      <c r="L529" s="1" t="s">
        <v>16</v>
      </c>
      <c r="M529" s="1" t="str">
        <f>IF(Table1[[#This Row],[Fasting_Blood_Sugar]]="Yes","Diabetic Risk","Normal")</f>
        <v>Diabetic Risk</v>
      </c>
      <c r="N529" s="1" t="s">
        <v>27</v>
      </c>
      <c r="O529" s="1">
        <v>170</v>
      </c>
      <c r="P529" s="1" t="s">
        <v>16</v>
      </c>
      <c r="Q529" s="4" t="s">
        <v>16</v>
      </c>
      <c r="R529" s="1" t="str" cm="1">
        <f t="array" ref="R52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29" s="1">
        <f>IFERROR(Table1[[#This Row],[Cholesterol]]/Table1[[#This Row],[Max_Heart_Rate]],"")</f>
        <v>1.8352941176470587</v>
      </c>
    </row>
    <row r="530" spans="1:19">
      <c r="A530" s="3" t="s">
        <v>550</v>
      </c>
      <c r="B530" s="3" t="str">
        <f>RIGHT(Table1[[#This Row],[Patient_ID]],4)</f>
        <v>1528</v>
      </c>
      <c r="C530" s="1">
        <v>33</v>
      </c>
      <c r="D530" s="1" t="str">
        <f>VLOOKUP(Table1[[#This Row],[Age]],'Lookup &amp; Reference'!$G$2:$H$5,2,1)</f>
        <v>Low</v>
      </c>
      <c r="E530" s="1" t="s">
        <v>12</v>
      </c>
      <c r="F530" s="1" t="str">
        <f>_xlfn.CONCAT(LEFT(Table1[[#This Row],[Gender]],1),Table1[[#This Row],[Age]])</f>
        <v>F33</v>
      </c>
      <c r="G530" s="1" t="s">
        <v>25</v>
      </c>
      <c r="H530" s="1">
        <f>LEN(Table1[[#This Row],[Chest_Pain_Type]])</f>
        <v>12</v>
      </c>
      <c r="I530" s="1">
        <v>102</v>
      </c>
      <c r="J530" s="1" t="str" cm="1">
        <f t="array" ref="J53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30" s="1">
        <v>194</v>
      </c>
      <c r="L530" s="1" t="s">
        <v>16</v>
      </c>
      <c r="M530" s="1" t="str">
        <f>IF(Table1[[#This Row],[Fasting_Blood_Sugar]]="Yes","Diabetic Risk","Normal")</f>
        <v>Diabetic Risk</v>
      </c>
      <c r="N530" s="1" t="s">
        <v>15</v>
      </c>
      <c r="O530" s="1">
        <v>189</v>
      </c>
      <c r="P530" s="1" t="s">
        <v>16</v>
      </c>
      <c r="Q530" s="4" t="s">
        <v>14</v>
      </c>
      <c r="R530" s="1" t="str" cm="1">
        <f t="array" ref="R53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0" s="1">
        <f>IFERROR(Table1[[#This Row],[Cholesterol]]/Table1[[#This Row],[Max_Heart_Rate]],"")</f>
        <v>1.0264550264550265</v>
      </c>
    </row>
    <row r="531" spans="1:19">
      <c r="A531" s="3" t="s">
        <v>551</v>
      </c>
      <c r="B531" s="3" t="str">
        <f>RIGHT(Table1[[#This Row],[Patient_ID]],4)</f>
        <v>1529</v>
      </c>
      <c r="C531" s="1">
        <v>73</v>
      </c>
      <c r="D531" s="1" t="str">
        <f>VLOOKUP(Table1[[#This Row],[Age]],'Lookup &amp; Reference'!$G$2:$H$5,2,1)</f>
        <v>High</v>
      </c>
      <c r="E531" s="1" t="s">
        <v>12</v>
      </c>
      <c r="F531" s="1" t="str">
        <f>_xlfn.CONCAT(LEFT(Table1[[#This Row],[Gender]],1),Table1[[#This Row],[Age]])</f>
        <v>F73</v>
      </c>
      <c r="G531" s="1" t="s">
        <v>22</v>
      </c>
      <c r="H531" s="1">
        <f>LEN(Table1[[#This Row],[Chest_Pain_Type]])</f>
        <v>15</v>
      </c>
      <c r="I531" s="1">
        <v>114</v>
      </c>
      <c r="J531" s="1" t="str" cm="1">
        <f t="array" ref="J53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31" s="1">
        <v>186</v>
      </c>
      <c r="L531" s="1" t="s">
        <v>14</v>
      </c>
      <c r="M531" s="1" t="str">
        <f>IF(Table1[[#This Row],[Fasting_Blood_Sugar]]="Yes","Diabetic Risk","Normal")</f>
        <v>Normal</v>
      </c>
      <c r="N531" s="1" t="s">
        <v>20</v>
      </c>
      <c r="O531" s="1">
        <v>103</v>
      </c>
      <c r="P531" s="1" t="s">
        <v>16</v>
      </c>
      <c r="Q531" s="4" t="s">
        <v>14</v>
      </c>
      <c r="R531" s="1" t="str" cm="1">
        <f t="array" ref="R53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1" s="1">
        <f>IFERROR(Table1[[#This Row],[Cholesterol]]/Table1[[#This Row],[Max_Heart_Rate]],"")</f>
        <v>1.8058252427184467</v>
      </c>
    </row>
    <row r="532" spans="1:19">
      <c r="A532" s="3" t="s">
        <v>552</v>
      </c>
      <c r="B532" s="3" t="str">
        <f>RIGHT(Table1[[#This Row],[Patient_ID]],4)</f>
        <v>1530</v>
      </c>
      <c r="C532" s="1">
        <v>32</v>
      </c>
      <c r="D532" s="1" t="str">
        <f>VLOOKUP(Table1[[#This Row],[Age]],'Lookup &amp; Reference'!$G$2:$H$5,2,1)</f>
        <v>Low</v>
      </c>
      <c r="E532" s="1" t="s">
        <v>12</v>
      </c>
      <c r="F532" s="1" t="str">
        <f>_xlfn.CONCAT(LEFT(Table1[[#This Row],[Gender]],1),Table1[[#This Row],[Age]])</f>
        <v>F32</v>
      </c>
      <c r="G532" s="1" t="s">
        <v>13</v>
      </c>
      <c r="H532" s="1">
        <f>LEN(Table1[[#This Row],[Chest_Pain_Type]])</f>
        <v>11</v>
      </c>
      <c r="I532" s="1">
        <v>134</v>
      </c>
      <c r="J532" s="1" t="str" cm="1">
        <f t="array" ref="J53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32" s="1">
        <v>299</v>
      </c>
      <c r="L532" s="1" t="s">
        <v>16</v>
      </c>
      <c r="M532" s="1" t="str">
        <f>IF(Table1[[#This Row],[Fasting_Blood_Sugar]]="Yes","Diabetic Risk","Normal")</f>
        <v>Diabetic Risk</v>
      </c>
      <c r="N532" s="1" t="s">
        <v>15</v>
      </c>
      <c r="O532" s="1">
        <v>99</v>
      </c>
      <c r="P532" s="1" t="s">
        <v>16</v>
      </c>
      <c r="Q532" s="4" t="s">
        <v>16</v>
      </c>
      <c r="R532" s="1" t="str" cm="1">
        <f t="array" ref="R53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2" s="1">
        <f>IFERROR(Table1[[#This Row],[Cholesterol]]/Table1[[#This Row],[Max_Heart_Rate]],"")</f>
        <v>3.0202020202020203</v>
      </c>
    </row>
    <row r="533" spans="1:19">
      <c r="A533" s="3" t="s">
        <v>553</v>
      </c>
      <c r="B533" s="3" t="str">
        <f>RIGHT(Table1[[#This Row],[Patient_ID]],4)</f>
        <v>1531</v>
      </c>
      <c r="C533" s="1">
        <v>44</v>
      </c>
      <c r="D533" s="1" t="str">
        <f>VLOOKUP(Table1[[#This Row],[Age]],'Lookup &amp; Reference'!$G$2:$H$5,2,1)</f>
        <v>Low</v>
      </c>
      <c r="E533" s="1" t="s">
        <v>18</v>
      </c>
      <c r="F533" s="1" t="str">
        <f>_xlfn.CONCAT(LEFT(Table1[[#This Row],[Gender]],1),Table1[[#This Row],[Age]])</f>
        <v>M44</v>
      </c>
      <c r="G533" s="1" t="s">
        <v>19</v>
      </c>
      <c r="H533" s="1">
        <f>LEN(Table1[[#This Row],[Chest_Pain_Type]])</f>
        <v>14</v>
      </c>
      <c r="I533" s="1">
        <v>108</v>
      </c>
      <c r="J533" s="1" t="str" cm="1">
        <f t="array" ref="J53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33" s="1">
        <v>309</v>
      </c>
      <c r="L533" s="1" t="s">
        <v>14</v>
      </c>
      <c r="M533" s="1" t="str">
        <f>IF(Table1[[#This Row],[Fasting_Blood_Sugar]]="Yes","Diabetic Risk","Normal")</f>
        <v>Normal</v>
      </c>
      <c r="N533" s="1" t="s">
        <v>20</v>
      </c>
      <c r="O533" s="1">
        <v>124</v>
      </c>
      <c r="P533" s="1" t="s">
        <v>14</v>
      </c>
      <c r="Q533" s="4" t="s">
        <v>14</v>
      </c>
      <c r="R533" s="1" t="str" cm="1">
        <f t="array" ref="R53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3" s="1">
        <f>IFERROR(Table1[[#This Row],[Cholesterol]]/Table1[[#This Row],[Max_Heart_Rate]],"")</f>
        <v>2.4919354838709675</v>
      </c>
    </row>
    <row r="534" spans="1:19">
      <c r="A534" s="3" t="s">
        <v>554</v>
      </c>
      <c r="B534" s="3" t="str">
        <f>RIGHT(Table1[[#This Row],[Patient_ID]],4)</f>
        <v>1532</v>
      </c>
      <c r="C534" s="1">
        <v>52</v>
      </c>
      <c r="D534" s="1" t="str">
        <f>VLOOKUP(Table1[[#This Row],[Age]],'Lookup &amp; Reference'!$G$2:$H$5,2,1)</f>
        <v>Medium</v>
      </c>
      <c r="E534" s="1" t="s">
        <v>12</v>
      </c>
      <c r="F534" s="1" t="str">
        <f>_xlfn.CONCAT(LEFT(Table1[[#This Row],[Gender]],1),Table1[[#This Row],[Age]])</f>
        <v>F52</v>
      </c>
      <c r="G534" s="1" t="s">
        <v>13</v>
      </c>
      <c r="H534" s="1">
        <f>LEN(Table1[[#This Row],[Chest_Pain_Type]])</f>
        <v>11</v>
      </c>
      <c r="I534" s="1">
        <v>144</v>
      </c>
      <c r="J534" s="1" t="str" cm="1">
        <f t="array" ref="J53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34" s="1">
        <v>270</v>
      </c>
      <c r="L534" s="1" t="s">
        <v>14</v>
      </c>
      <c r="M534" s="1" t="str">
        <f>IF(Table1[[#This Row],[Fasting_Blood_Sugar]]="Yes","Diabetic Risk","Normal")</f>
        <v>Normal</v>
      </c>
      <c r="N534" s="1" t="s">
        <v>27</v>
      </c>
      <c r="O534" s="1">
        <v>114</v>
      </c>
      <c r="P534" s="1" t="s">
        <v>14</v>
      </c>
      <c r="Q534" s="4" t="s">
        <v>14</v>
      </c>
      <c r="R534" s="1" t="str" cm="1">
        <f t="array" ref="R53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4" s="1">
        <f>IFERROR(Table1[[#This Row],[Cholesterol]]/Table1[[#This Row],[Max_Heart_Rate]],"")</f>
        <v>2.3684210526315788</v>
      </c>
    </row>
    <row r="535" spans="1:19">
      <c r="A535" s="3" t="s">
        <v>555</v>
      </c>
      <c r="B535" s="3" t="str">
        <f>RIGHT(Table1[[#This Row],[Patient_ID]],4)</f>
        <v>1533</v>
      </c>
      <c r="C535" s="1">
        <v>44</v>
      </c>
      <c r="D535" s="1" t="str">
        <f>VLOOKUP(Table1[[#This Row],[Age]],'Lookup &amp; Reference'!$G$2:$H$5,2,1)</f>
        <v>Low</v>
      </c>
      <c r="E535" s="1" t="s">
        <v>18</v>
      </c>
      <c r="F535" s="1" t="str">
        <f>_xlfn.CONCAT(LEFT(Table1[[#This Row],[Gender]],1),Table1[[#This Row],[Age]])</f>
        <v>M44</v>
      </c>
      <c r="G535" s="1" t="s">
        <v>19</v>
      </c>
      <c r="H535" s="1">
        <f>LEN(Table1[[#This Row],[Chest_Pain_Type]])</f>
        <v>14</v>
      </c>
      <c r="I535" s="1">
        <v>189</v>
      </c>
      <c r="J535" s="1" t="str" cm="1">
        <f t="array" ref="J53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35" s="1">
        <v>273</v>
      </c>
      <c r="L535" s="1" t="s">
        <v>16</v>
      </c>
      <c r="M535" s="1" t="str">
        <f>IF(Table1[[#This Row],[Fasting_Blood_Sugar]]="Yes","Diabetic Risk","Normal")</f>
        <v>Diabetic Risk</v>
      </c>
      <c r="N535" s="1" t="s">
        <v>20</v>
      </c>
      <c r="O535" s="1">
        <v>92</v>
      </c>
      <c r="P535" s="1" t="s">
        <v>14</v>
      </c>
      <c r="Q535" s="4" t="s">
        <v>14</v>
      </c>
      <c r="R535" s="1" t="str" cm="1">
        <f t="array" ref="R53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5" s="1">
        <f>IFERROR(Table1[[#This Row],[Cholesterol]]/Table1[[#This Row],[Max_Heart_Rate]],"")</f>
        <v>2.9673913043478262</v>
      </c>
    </row>
    <row r="536" spans="1:19">
      <c r="A536" s="3" t="s">
        <v>556</v>
      </c>
      <c r="B536" s="3" t="str">
        <f>RIGHT(Table1[[#This Row],[Patient_ID]],4)</f>
        <v>1534</v>
      </c>
      <c r="C536" s="1">
        <v>30</v>
      </c>
      <c r="D536" s="1" t="str">
        <f>VLOOKUP(Table1[[#This Row],[Age]],'Lookup &amp; Reference'!$G$2:$H$5,2,1)</f>
        <v>Low</v>
      </c>
      <c r="E536" s="1" t="s">
        <v>18</v>
      </c>
      <c r="F536" s="1" t="str">
        <f>_xlfn.CONCAT(LEFT(Table1[[#This Row],[Gender]],1),Table1[[#This Row],[Age]])</f>
        <v>M30</v>
      </c>
      <c r="G536" s="1" t="s">
        <v>25</v>
      </c>
      <c r="H536" s="1">
        <f>LEN(Table1[[#This Row],[Chest_Pain_Type]])</f>
        <v>12</v>
      </c>
      <c r="I536" s="1">
        <v>134</v>
      </c>
      <c r="J536" s="1" t="str" cm="1">
        <f t="array" ref="J53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36" s="1">
        <v>315</v>
      </c>
      <c r="L536" s="1" t="s">
        <v>16</v>
      </c>
      <c r="M536" s="1" t="str">
        <f>IF(Table1[[#This Row],[Fasting_Blood_Sugar]]="Yes","Diabetic Risk","Normal")</f>
        <v>Diabetic Risk</v>
      </c>
      <c r="N536" s="1" t="s">
        <v>20</v>
      </c>
      <c r="O536" s="1">
        <v>200</v>
      </c>
      <c r="P536" s="1" t="s">
        <v>16</v>
      </c>
      <c r="Q536" s="4" t="s">
        <v>14</v>
      </c>
      <c r="R536" s="1" t="str" cm="1">
        <f t="array" ref="R53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6" s="1">
        <f>IFERROR(Table1[[#This Row],[Cholesterol]]/Table1[[#This Row],[Max_Heart_Rate]],"")</f>
        <v>1.575</v>
      </c>
    </row>
    <row r="537" spans="1:19">
      <c r="A537" s="3" t="s">
        <v>557</v>
      </c>
      <c r="B537" s="3" t="str">
        <f>RIGHT(Table1[[#This Row],[Patient_ID]],4)</f>
        <v>1535</v>
      </c>
      <c r="C537" s="1">
        <v>77</v>
      </c>
      <c r="D537" s="1" t="str">
        <f>VLOOKUP(Table1[[#This Row],[Age]],'Lookup &amp; Reference'!$G$2:$H$5,2,1)</f>
        <v>High</v>
      </c>
      <c r="E537" s="1" t="s">
        <v>12</v>
      </c>
      <c r="F537" s="1" t="str">
        <f>_xlfn.CONCAT(LEFT(Table1[[#This Row],[Gender]],1),Table1[[#This Row],[Age]])</f>
        <v>F77</v>
      </c>
      <c r="G537" s="1" t="s">
        <v>13</v>
      </c>
      <c r="H537" s="1">
        <f>LEN(Table1[[#This Row],[Chest_Pain_Type]])</f>
        <v>11</v>
      </c>
      <c r="I537" s="1">
        <v>97</v>
      </c>
      <c r="J537" s="1" t="str" cm="1">
        <f t="array" ref="J537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37" s="1">
        <v>329</v>
      </c>
      <c r="L537" s="1" t="s">
        <v>16</v>
      </c>
      <c r="M537" s="1" t="str">
        <f>IF(Table1[[#This Row],[Fasting_Blood_Sugar]]="Yes","Diabetic Risk","Normal")</f>
        <v>Diabetic Risk</v>
      </c>
      <c r="N537" s="1" t="s">
        <v>15</v>
      </c>
      <c r="O537" s="1">
        <v>191</v>
      </c>
      <c r="P537" s="1" t="s">
        <v>14</v>
      </c>
      <c r="Q537" s="4" t="s">
        <v>14</v>
      </c>
      <c r="R537" s="1" t="str" cm="1">
        <f t="array" ref="R53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7" s="1">
        <f>IFERROR(Table1[[#This Row],[Cholesterol]]/Table1[[#This Row],[Max_Heart_Rate]],"")</f>
        <v>1.7225130890052356</v>
      </c>
    </row>
    <row r="538" spans="1:19">
      <c r="A538" s="3" t="s">
        <v>558</v>
      </c>
      <c r="B538" s="3" t="str">
        <f>RIGHT(Table1[[#This Row],[Patient_ID]],4)</f>
        <v>1536</v>
      </c>
      <c r="C538" s="1">
        <v>56</v>
      </c>
      <c r="D538" s="1" t="str">
        <f>VLOOKUP(Table1[[#This Row],[Age]],'Lookup &amp; Reference'!$G$2:$H$5,2,1)</f>
        <v>Medium</v>
      </c>
      <c r="E538" s="1" t="s">
        <v>18</v>
      </c>
      <c r="F538" s="1" t="str">
        <f>_xlfn.CONCAT(LEFT(Table1[[#This Row],[Gender]],1),Table1[[#This Row],[Age]])</f>
        <v>M56</v>
      </c>
      <c r="G538" s="1" t="s">
        <v>22</v>
      </c>
      <c r="H538" s="1">
        <f>LEN(Table1[[#This Row],[Chest_Pain_Type]])</f>
        <v>15</v>
      </c>
      <c r="I538" s="1">
        <v>182</v>
      </c>
      <c r="J538" s="1" t="str" cm="1">
        <f t="array" ref="J53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38" s="1">
        <v>174</v>
      </c>
      <c r="L538" s="1" t="s">
        <v>14</v>
      </c>
      <c r="M538" s="1" t="str">
        <f>IF(Table1[[#This Row],[Fasting_Blood_Sugar]]="Yes","Diabetic Risk","Normal")</f>
        <v>Normal</v>
      </c>
      <c r="N538" s="1" t="s">
        <v>15</v>
      </c>
      <c r="O538" s="1">
        <v>106</v>
      </c>
      <c r="P538" s="1" t="s">
        <v>14</v>
      </c>
      <c r="Q538" s="4" t="s">
        <v>14</v>
      </c>
      <c r="R538" s="1" t="str" cm="1">
        <f t="array" ref="R53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8" s="1">
        <f>IFERROR(Table1[[#This Row],[Cholesterol]]/Table1[[#This Row],[Max_Heart_Rate]],"")</f>
        <v>1.6415094339622642</v>
      </c>
    </row>
    <row r="539" spans="1:19">
      <c r="A539" s="3" t="s">
        <v>559</v>
      </c>
      <c r="B539" s="3" t="str">
        <f>RIGHT(Table1[[#This Row],[Patient_ID]],4)</f>
        <v>1537</v>
      </c>
      <c r="C539" s="1">
        <v>60</v>
      </c>
      <c r="D539" s="1" t="str">
        <f>VLOOKUP(Table1[[#This Row],[Age]],'Lookup &amp; Reference'!$G$2:$H$5,2,1)</f>
        <v>High</v>
      </c>
      <c r="E539" s="1" t="s">
        <v>18</v>
      </c>
      <c r="F539" s="1" t="str">
        <f>_xlfn.CONCAT(LEFT(Table1[[#This Row],[Gender]],1),Table1[[#This Row],[Age]])</f>
        <v>M60</v>
      </c>
      <c r="G539" s="1" t="s">
        <v>19</v>
      </c>
      <c r="H539" s="1">
        <f>LEN(Table1[[#This Row],[Chest_Pain_Type]])</f>
        <v>14</v>
      </c>
      <c r="I539" s="1">
        <v>142</v>
      </c>
      <c r="J539" s="1" t="str" cm="1">
        <f t="array" ref="J53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39" s="1">
        <v>125</v>
      </c>
      <c r="L539" s="1" t="s">
        <v>14</v>
      </c>
      <c r="M539" s="1" t="str">
        <f>IF(Table1[[#This Row],[Fasting_Blood_Sugar]]="Yes","Diabetic Risk","Normal")</f>
        <v>Normal</v>
      </c>
      <c r="N539" s="1" t="s">
        <v>20</v>
      </c>
      <c r="O539" s="1">
        <v>101</v>
      </c>
      <c r="P539" s="1" t="s">
        <v>14</v>
      </c>
      <c r="Q539" s="4" t="s">
        <v>14</v>
      </c>
      <c r="R539" s="1" t="str" cm="1">
        <f t="array" ref="R53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39" s="1">
        <f>IFERROR(Table1[[#This Row],[Cholesterol]]/Table1[[#This Row],[Max_Heart_Rate]],"")</f>
        <v>1.2376237623762376</v>
      </c>
    </row>
    <row r="540" spans="1:19">
      <c r="A540" s="3" t="s">
        <v>560</v>
      </c>
      <c r="B540" s="3" t="str">
        <f>RIGHT(Table1[[#This Row],[Patient_ID]],4)</f>
        <v>1538</v>
      </c>
      <c r="C540" s="1">
        <v>55</v>
      </c>
      <c r="D540" s="1" t="str">
        <f>VLOOKUP(Table1[[#This Row],[Age]],'Lookup &amp; Reference'!$G$2:$H$5,2,1)</f>
        <v>Medium</v>
      </c>
      <c r="E540" s="1" t="s">
        <v>18</v>
      </c>
      <c r="F540" s="1" t="str">
        <f>_xlfn.CONCAT(LEFT(Table1[[#This Row],[Gender]],1),Table1[[#This Row],[Age]])</f>
        <v>M55</v>
      </c>
      <c r="G540" s="1" t="s">
        <v>19</v>
      </c>
      <c r="H540" s="1">
        <f>LEN(Table1[[#This Row],[Chest_Pain_Type]])</f>
        <v>14</v>
      </c>
      <c r="I540" s="1">
        <v>144</v>
      </c>
      <c r="J540" s="1" t="str" cm="1">
        <f t="array" ref="J54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40" s="1">
        <v>282</v>
      </c>
      <c r="L540" s="1" t="s">
        <v>16</v>
      </c>
      <c r="M540" s="1" t="str">
        <f>IF(Table1[[#This Row],[Fasting_Blood_Sugar]]="Yes","Diabetic Risk","Normal")</f>
        <v>Diabetic Risk</v>
      </c>
      <c r="N540" s="1" t="s">
        <v>27</v>
      </c>
      <c r="O540" s="1">
        <v>143</v>
      </c>
      <c r="P540" s="1" t="s">
        <v>16</v>
      </c>
      <c r="Q540" s="4" t="s">
        <v>14</v>
      </c>
      <c r="R540" s="1" t="str" cm="1">
        <f t="array" ref="R54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40" s="1">
        <f>IFERROR(Table1[[#This Row],[Cholesterol]]/Table1[[#This Row],[Max_Heart_Rate]],"")</f>
        <v>1.9720279720279721</v>
      </c>
    </row>
    <row r="541" spans="1:19">
      <c r="A541" s="3" t="s">
        <v>561</v>
      </c>
      <c r="B541" s="3" t="str">
        <f>RIGHT(Table1[[#This Row],[Patient_ID]],4)</f>
        <v>1539</v>
      </c>
      <c r="C541" s="1">
        <v>48</v>
      </c>
      <c r="D541" s="1" t="str">
        <f>VLOOKUP(Table1[[#This Row],[Age]],'Lookup &amp; Reference'!$G$2:$H$5,2,1)</f>
        <v>Medium</v>
      </c>
      <c r="E541" s="1" t="s">
        <v>18</v>
      </c>
      <c r="F541" s="1" t="str">
        <f>_xlfn.CONCAT(LEFT(Table1[[#This Row],[Gender]],1),Table1[[#This Row],[Age]])</f>
        <v>M48</v>
      </c>
      <c r="G541" s="1" t="s">
        <v>13</v>
      </c>
      <c r="H541" s="1">
        <f>LEN(Table1[[#This Row],[Chest_Pain_Type]])</f>
        <v>11</v>
      </c>
      <c r="I541" s="1">
        <v>121</v>
      </c>
      <c r="J541" s="1" t="str" cm="1">
        <f t="array" ref="J54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41" s="1">
        <v>269</v>
      </c>
      <c r="L541" s="1" t="s">
        <v>16</v>
      </c>
      <c r="M541" s="1" t="str">
        <f>IF(Table1[[#This Row],[Fasting_Blood_Sugar]]="Yes","Diabetic Risk","Normal")</f>
        <v>Diabetic Risk</v>
      </c>
      <c r="N541" s="1" t="s">
        <v>27</v>
      </c>
      <c r="O541" s="1">
        <v>205</v>
      </c>
      <c r="P541" s="1" t="s">
        <v>16</v>
      </c>
      <c r="Q541" s="4" t="s">
        <v>16</v>
      </c>
      <c r="R541" s="1" t="str" cm="1">
        <f t="array" ref="R54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41" s="1">
        <f>IFERROR(Table1[[#This Row],[Cholesterol]]/Table1[[#This Row],[Max_Heart_Rate]],"")</f>
        <v>1.3121951219512196</v>
      </c>
    </row>
    <row r="542" spans="1:19">
      <c r="A542" s="3" t="s">
        <v>562</v>
      </c>
      <c r="B542" s="3" t="str">
        <f>RIGHT(Table1[[#This Row],[Patient_ID]],4)</f>
        <v>1540</v>
      </c>
      <c r="C542" s="1">
        <v>52</v>
      </c>
      <c r="D542" s="1" t="str">
        <f>VLOOKUP(Table1[[#This Row],[Age]],'Lookup &amp; Reference'!$G$2:$H$5,2,1)</f>
        <v>Medium</v>
      </c>
      <c r="E542" s="1" t="s">
        <v>12</v>
      </c>
      <c r="F542" s="1" t="str">
        <f>_xlfn.CONCAT(LEFT(Table1[[#This Row],[Gender]],1),Table1[[#This Row],[Age]])</f>
        <v>F52</v>
      </c>
      <c r="G542" s="1" t="s">
        <v>25</v>
      </c>
      <c r="H542" s="1">
        <f>LEN(Table1[[#This Row],[Chest_Pain_Type]])</f>
        <v>12</v>
      </c>
      <c r="I542" s="1">
        <v>140</v>
      </c>
      <c r="J542" s="1" t="str" cm="1">
        <f t="array" ref="J54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42" s="1">
        <v>290</v>
      </c>
      <c r="L542" s="1" t="s">
        <v>14</v>
      </c>
      <c r="M542" s="1" t="str">
        <f>IF(Table1[[#This Row],[Fasting_Blood_Sugar]]="Yes","Diabetic Risk","Normal")</f>
        <v>Normal</v>
      </c>
      <c r="N542" s="1" t="s">
        <v>15</v>
      </c>
      <c r="O542" s="1">
        <v>113</v>
      </c>
      <c r="P542" s="1" t="s">
        <v>14</v>
      </c>
      <c r="Q542" s="4" t="s">
        <v>16</v>
      </c>
      <c r="R542" s="1" t="str" cm="1">
        <f t="array" ref="R54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42" s="1">
        <f>IFERROR(Table1[[#This Row],[Cholesterol]]/Table1[[#This Row],[Max_Heart_Rate]],"")</f>
        <v>2.5663716814159292</v>
      </c>
    </row>
    <row r="543" spans="1:19">
      <c r="A543" s="3" t="s">
        <v>563</v>
      </c>
      <c r="B543" s="3" t="str">
        <f>RIGHT(Table1[[#This Row],[Patient_ID]],4)</f>
        <v>1541</v>
      </c>
      <c r="C543" s="1">
        <v>40</v>
      </c>
      <c r="D543" s="1" t="str">
        <f>VLOOKUP(Table1[[#This Row],[Age]],'Lookup &amp; Reference'!$G$2:$H$5,2,1)</f>
        <v>Low</v>
      </c>
      <c r="E543" s="1" t="s">
        <v>18</v>
      </c>
      <c r="F543" s="1" t="str">
        <f>_xlfn.CONCAT(LEFT(Table1[[#This Row],[Gender]],1),Table1[[#This Row],[Age]])</f>
        <v>M40</v>
      </c>
      <c r="G543" s="1" t="s">
        <v>13</v>
      </c>
      <c r="H543" s="1">
        <f>LEN(Table1[[#This Row],[Chest_Pain_Type]])</f>
        <v>11</v>
      </c>
      <c r="I543" s="1">
        <v>133</v>
      </c>
      <c r="J543" s="1" t="str" cm="1">
        <f t="array" ref="J54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43" s="1">
        <v>262</v>
      </c>
      <c r="L543" s="1" t="s">
        <v>16</v>
      </c>
      <c r="M543" s="1" t="str">
        <f>IF(Table1[[#This Row],[Fasting_Blood_Sugar]]="Yes","Diabetic Risk","Normal")</f>
        <v>Diabetic Risk</v>
      </c>
      <c r="N543" s="1" t="s">
        <v>27</v>
      </c>
      <c r="O543" s="1">
        <v>118</v>
      </c>
      <c r="P543" s="1" t="s">
        <v>14</v>
      </c>
      <c r="Q543" s="4" t="s">
        <v>14</v>
      </c>
      <c r="R543" s="1" t="str" cm="1">
        <f t="array" ref="R54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43" s="1">
        <f>IFERROR(Table1[[#This Row],[Cholesterol]]/Table1[[#This Row],[Max_Heart_Rate]],"")</f>
        <v>2.2203389830508473</v>
      </c>
    </row>
    <row r="544" spans="1:19">
      <c r="A544" s="3" t="s">
        <v>564</v>
      </c>
      <c r="B544" s="3" t="str">
        <f>RIGHT(Table1[[#This Row],[Patient_ID]],4)</f>
        <v>1542</v>
      </c>
      <c r="C544" s="1">
        <v>78</v>
      </c>
      <c r="D544" s="1" t="str">
        <f>VLOOKUP(Table1[[#This Row],[Age]],'Lookup &amp; Reference'!$G$2:$H$5,2,1)</f>
        <v>High</v>
      </c>
      <c r="E544" s="1" t="s">
        <v>12</v>
      </c>
      <c r="F544" s="1" t="str">
        <f>_xlfn.CONCAT(LEFT(Table1[[#This Row],[Gender]],1),Table1[[#This Row],[Age]])</f>
        <v>F78</v>
      </c>
      <c r="G544" s="1" t="s">
        <v>25</v>
      </c>
      <c r="H544" s="1">
        <f>LEN(Table1[[#This Row],[Chest_Pain_Type]])</f>
        <v>12</v>
      </c>
      <c r="I544" s="1">
        <v>171</v>
      </c>
      <c r="J544" s="1" t="str" cm="1">
        <f t="array" ref="J54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44" s="1">
        <v>205</v>
      </c>
      <c r="L544" s="1" t="s">
        <v>14</v>
      </c>
      <c r="M544" s="1" t="str">
        <f>IF(Table1[[#This Row],[Fasting_Blood_Sugar]]="Yes","Diabetic Risk","Normal")</f>
        <v>Normal</v>
      </c>
      <c r="N544" s="1" t="s">
        <v>15</v>
      </c>
      <c r="O544" s="1">
        <v>132</v>
      </c>
      <c r="P544" s="1" t="s">
        <v>16</v>
      </c>
      <c r="Q544" s="4" t="s">
        <v>14</v>
      </c>
      <c r="R544" s="1" t="str" cm="1">
        <f t="array" ref="R54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44" s="1">
        <f>IFERROR(Table1[[#This Row],[Cholesterol]]/Table1[[#This Row],[Max_Heart_Rate]],"")</f>
        <v>1.553030303030303</v>
      </c>
    </row>
    <row r="545" spans="1:19">
      <c r="A545" s="3" t="s">
        <v>565</v>
      </c>
      <c r="B545" s="3" t="str">
        <f>RIGHT(Table1[[#This Row],[Patient_ID]],4)</f>
        <v>1543</v>
      </c>
      <c r="C545" s="1">
        <v>63</v>
      </c>
      <c r="D545" s="1" t="str">
        <f>VLOOKUP(Table1[[#This Row],[Age]],'Lookup &amp; Reference'!$G$2:$H$5,2,1)</f>
        <v>High</v>
      </c>
      <c r="E545" s="1" t="s">
        <v>12</v>
      </c>
      <c r="F545" s="1" t="str">
        <f>_xlfn.CONCAT(LEFT(Table1[[#This Row],[Gender]],1),Table1[[#This Row],[Age]])</f>
        <v>F63</v>
      </c>
      <c r="G545" s="1" t="s">
        <v>25</v>
      </c>
      <c r="H545" s="1">
        <f>LEN(Table1[[#This Row],[Chest_Pain_Type]])</f>
        <v>12</v>
      </c>
      <c r="I545" s="1">
        <v>159</v>
      </c>
      <c r="J545" s="1" t="str" cm="1">
        <f t="array" ref="J54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45" s="1">
        <v>179</v>
      </c>
      <c r="L545" s="1" t="s">
        <v>14</v>
      </c>
      <c r="M545" s="1" t="str">
        <f>IF(Table1[[#This Row],[Fasting_Blood_Sugar]]="Yes","Diabetic Risk","Normal")</f>
        <v>Normal</v>
      </c>
      <c r="N545" s="1" t="s">
        <v>27</v>
      </c>
      <c r="O545" s="1">
        <v>114</v>
      </c>
      <c r="P545" s="1" t="s">
        <v>16</v>
      </c>
      <c r="Q545" s="4" t="s">
        <v>16</v>
      </c>
      <c r="R545" s="1" t="str" cm="1">
        <f t="array" ref="R54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45" s="1">
        <f>IFERROR(Table1[[#This Row],[Cholesterol]]/Table1[[#This Row],[Max_Heart_Rate]],"")</f>
        <v>1.5701754385964912</v>
      </c>
    </row>
    <row r="546" spans="1:19">
      <c r="A546" s="3" t="s">
        <v>566</v>
      </c>
      <c r="B546" s="3" t="str">
        <f>RIGHT(Table1[[#This Row],[Patient_ID]],4)</f>
        <v>1544</v>
      </c>
      <c r="C546" s="1">
        <v>61</v>
      </c>
      <c r="D546" s="1" t="str">
        <f>VLOOKUP(Table1[[#This Row],[Age]],'Lookup &amp; Reference'!$G$2:$H$5,2,1)</f>
        <v>High</v>
      </c>
      <c r="E546" s="1" t="s">
        <v>18</v>
      </c>
      <c r="F546" s="1" t="str">
        <f>_xlfn.CONCAT(LEFT(Table1[[#This Row],[Gender]],1),Table1[[#This Row],[Age]])</f>
        <v>M61</v>
      </c>
      <c r="G546" s="1" t="s">
        <v>19</v>
      </c>
      <c r="H546" s="1">
        <f>LEN(Table1[[#This Row],[Chest_Pain_Type]])</f>
        <v>14</v>
      </c>
      <c r="I546" s="1">
        <v>107</v>
      </c>
      <c r="J546" s="1" t="str" cm="1">
        <f t="array" ref="J54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46" s="1">
        <v>220</v>
      </c>
      <c r="L546" s="1" t="s">
        <v>16</v>
      </c>
      <c r="M546" s="1" t="str">
        <f>IF(Table1[[#This Row],[Fasting_Blood_Sugar]]="Yes","Diabetic Risk","Normal")</f>
        <v>Diabetic Risk</v>
      </c>
      <c r="N546" s="1" t="s">
        <v>20</v>
      </c>
      <c r="O546" s="1">
        <v>189</v>
      </c>
      <c r="P546" s="1" t="s">
        <v>14</v>
      </c>
      <c r="Q546" s="4" t="s">
        <v>14</v>
      </c>
      <c r="R546" s="1" t="str" cm="1">
        <f t="array" ref="R54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46" s="1">
        <f>IFERROR(Table1[[#This Row],[Cholesterol]]/Table1[[#This Row],[Max_Heart_Rate]],"")</f>
        <v>1.164021164021164</v>
      </c>
    </row>
    <row r="547" spans="1:19">
      <c r="A547" s="3" t="s">
        <v>567</v>
      </c>
      <c r="B547" s="3" t="str">
        <f>RIGHT(Table1[[#This Row],[Patient_ID]],4)</f>
        <v>1545</v>
      </c>
      <c r="C547" s="1">
        <v>61</v>
      </c>
      <c r="D547" s="1" t="str">
        <f>VLOOKUP(Table1[[#This Row],[Age]],'Lookup &amp; Reference'!$G$2:$H$5,2,1)</f>
        <v>High</v>
      </c>
      <c r="E547" s="1" t="s">
        <v>12</v>
      </c>
      <c r="F547" s="1" t="str">
        <f>_xlfn.CONCAT(LEFT(Table1[[#This Row],[Gender]],1),Table1[[#This Row],[Age]])</f>
        <v>F61</v>
      </c>
      <c r="G547" s="1" t="s">
        <v>13</v>
      </c>
      <c r="H547" s="1">
        <f>LEN(Table1[[#This Row],[Chest_Pain_Type]])</f>
        <v>11</v>
      </c>
      <c r="I547" s="1">
        <v>172</v>
      </c>
      <c r="J547" s="1" t="str" cm="1">
        <f t="array" ref="J54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47" s="1">
        <v>131</v>
      </c>
      <c r="L547" s="1" t="s">
        <v>16</v>
      </c>
      <c r="M547" s="1" t="str">
        <f>IF(Table1[[#This Row],[Fasting_Blood_Sugar]]="Yes","Diabetic Risk","Normal")</f>
        <v>Diabetic Risk</v>
      </c>
      <c r="N547" s="1" t="s">
        <v>15</v>
      </c>
      <c r="O547" s="1">
        <v>149</v>
      </c>
      <c r="P547" s="1" t="s">
        <v>16</v>
      </c>
      <c r="Q547" s="4" t="s">
        <v>14</v>
      </c>
      <c r="R547" s="1" t="str" cm="1">
        <f t="array" ref="R54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47" s="1">
        <f>IFERROR(Table1[[#This Row],[Cholesterol]]/Table1[[#This Row],[Max_Heart_Rate]],"")</f>
        <v>0.87919463087248317</v>
      </c>
    </row>
    <row r="548" spans="1:19">
      <c r="A548" s="3" t="s">
        <v>568</v>
      </c>
      <c r="B548" s="3" t="str">
        <f>RIGHT(Table1[[#This Row],[Patient_ID]],4)</f>
        <v>1546</v>
      </c>
      <c r="C548" s="1">
        <v>79</v>
      </c>
      <c r="D548" s="1" t="str">
        <f>VLOOKUP(Table1[[#This Row],[Age]],'Lookup &amp; Reference'!$G$2:$H$5,2,1)</f>
        <v>High</v>
      </c>
      <c r="E548" s="1" t="s">
        <v>12</v>
      </c>
      <c r="F548" s="1" t="str">
        <f>_xlfn.CONCAT(LEFT(Table1[[#This Row],[Gender]],1),Table1[[#This Row],[Age]])</f>
        <v>F79</v>
      </c>
      <c r="G548" s="1" t="s">
        <v>13</v>
      </c>
      <c r="H548" s="1">
        <f>LEN(Table1[[#This Row],[Chest_Pain_Type]])</f>
        <v>11</v>
      </c>
      <c r="I548" s="1">
        <v>111</v>
      </c>
      <c r="J548" s="1" t="str" cm="1">
        <f t="array" ref="J54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48" s="1">
        <v>168</v>
      </c>
      <c r="L548" s="1" t="s">
        <v>16</v>
      </c>
      <c r="M548" s="1" t="str">
        <f>IF(Table1[[#This Row],[Fasting_Blood_Sugar]]="Yes","Diabetic Risk","Normal")</f>
        <v>Diabetic Risk</v>
      </c>
      <c r="N548" s="1" t="s">
        <v>15</v>
      </c>
      <c r="O548" s="1">
        <v>179</v>
      </c>
      <c r="P548" s="1" t="s">
        <v>14</v>
      </c>
      <c r="Q548" s="4" t="s">
        <v>16</v>
      </c>
      <c r="R548" s="1" t="str" cm="1">
        <f t="array" ref="R54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48" s="1">
        <f>IFERROR(Table1[[#This Row],[Cholesterol]]/Table1[[#This Row],[Max_Heart_Rate]],"")</f>
        <v>0.93854748603351956</v>
      </c>
    </row>
    <row r="549" spans="1:19">
      <c r="A549" s="3" t="s">
        <v>569</v>
      </c>
      <c r="B549" s="3" t="str">
        <f>RIGHT(Table1[[#This Row],[Patient_ID]],4)</f>
        <v>1547</v>
      </c>
      <c r="C549" s="1">
        <v>71</v>
      </c>
      <c r="D549" s="1" t="str">
        <f>VLOOKUP(Table1[[#This Row],[Age]],'Lookup &amp; Reference'!$G$2:$H$5,2,1)</f>
        <v>High</v>
      </c>
      <c r="E549" s="1" t="s">
        <v>12</v>
      </c>
      <c r="F549" s="1" t="str">
        <f>_xlfn.CONCAT(LEFT(Table1[[#This Row],[Gender]],1),Table1[[#This Row],[Age]])</f>
        <v>F71</v>
      </c>
      <c r="G549" s="1" t="s">
        <v>25</v>
      </c>
      <c r="H549" s="1">
        <f>LEN(Table1[[#This Row],[Chest_Pain_Type]])</f>
        <v>12</v>
      </c>
      <c r="I549" s="1">
        <v>126</v>
      </c>
      <c r="J549" s="1" t="str" cm="1">
        <f t="array" ref="J54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49" s="1">
        <v>161</v>
      </c>
      <c r="L549" s="1" t="s">
        <v>16</v>
      </c>
      <c r="M549" s="1" t="str">
        <f>IF(Table1[[#This Row],[Fasting_Blood_Sugar]]="Yes","Diabetic Risk","Normal")</f>
        <v>Diabetic Risk</v>
      </c>
      <c r="N549" s="1" t="s">
        <v>20</v>
      </c>
      <c r="O549" s="1">
        <v>191</v>
      </c>
      <c r="P549" s="1" t="s">
        <v>16</v>
      </c>
      <c r="Q549" s="4" t="s">
        <v>16</v>
      </c>
      <c r="R549" s="1" t="str" cm="1">
        <f t="array" ref="R54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49" s="1">
        <f>IFERROR(Table1[[#This Row],[Cholesterol]]/Table1[[#This Row],[Max_Heart_Rate]],"")</f>
        <v>0.84293193717277481</v>
      </c>
    </row>
    <row r="550" spans="1:19">
      <c r="A550" s="3" t="s">
        <v>570</v>
      </c>
      <c r="B550" s="3" t="str">
        <f>RIGHT(Table1[[#This Row],[Patient_ID]],4)</f>
        <v>1548</v>
      </c>
      <c r="C550" s="1">
        <v>65</v>
      </c>
      <c r="D550" s="1" t="str">
        <f>VLOOKUP(Table1[[#This Row],[Age]],'Lookup &amp; Reference'!$G$2:$H$5,2,1)</f>
        <v>High</v>
      </c>
      <c r="E550" s="1" t="s">
        <v>18</v>
      </c>
      <c r="F550" s="1" t="str">
        <f>_xlfn.CONCAT(LEFT(Table1[[#This Row],[Gender]],1),Table1[[#This Row],[Age]])</f>
        <v>M65</v>
      </c>
      <c r="G550" s="1" t="s">
        <v>13</v>
      </c>
      <c r="H550" s="1">
        <f>LEN(Table1[[#This Row],[Chest_Pain_Type]])</f>
        <v>11</v>
      </c>
      <c r="I550" s="1">
        <v>185</v>
      </c>
      <c r="J550" s="1" t="str" cm="1">
        <f t="array" ref="J55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0" s="1">
        <v>285</v>
      </c>
      <c r="L550" s="1" t="s">
        <v>14</v>
      </c>
      <c r="M550" s="1" t="str">
        <f>IF(Table1[[#This Row],[Fasting_Blood_Sugar]]="Yes","Diabetic Risk","Normal")</f>
        <v>Normal</v>
      </c>
      <c r="N550" s="1" t="s">
        <v>15</v>
      </c>
      <c r="O550" s="1">
        <v>154</v>
      </c>
      <c r="P550" s="1" t="s">
        <v>14</v>
      </c>
      <c r="Q550" s="4" t="s">
        <v>16</v>
      </c>
      <c r="R550" s="1" t="str" cm="1">
        <f t="array" ref="R55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50" s="1">
        <f>IFERROR(Table1[[#This Row],[Cholesterol]]/Table1[[#This Row],[Max_Heart_Rate]],"")</f>
        <v>1.8506493506493507</v>
      </c>
    </row>
    <row r="551" spans="1:19">
      <c r="A551" s="3" t="s">
        <v>571</v>
      </c>
      <c r="B551" s="3" t="str">
        <f>RIGHT(Table1[[#This Row],[Patient_ID]],4)</f>
        <v>1549</v>
      </c>
      <c r="C551" s="1">
        <v>40</v>
      </c>
      <c r="D551" s="1" t="str">
        <f>VLOOKUP(Table1[[#This Row],[Age]],'Lookup &amp; Reference'!$G$2:$H$5,2,1)</f>
        <v>Low</v>
      </c>
      <c r="E551" s="1" t="s">
        <v>12</v>
      </c>
      <c r="F551" s="1" t="str">
        <f>_xlfn.CONCAT(LEFT(Table1[[#This Row],[Gender]],1),Table1[[#This Row],[Age]])</f>
        <v>F40</v>
      </c>
      <c r="G551" s="1" t="s">
        <v>22</v>
      </c>
      <c r="H551" s="1">
        <f>LEN(Table1[[#This Row],[Chest_Pain_Type]])</f>
        <v>15</v>
      </c>
      <c r="I551" s="1">
        <v>145</v>
      </c>
      <c r="J551" s="1" t="str" cm="1">
        <f t="array" ref="J55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1" s="1">
        <v>201</v>
      </c>
      <c r="L551" s="1" t="s">
        <v>14</v>
      </c>
      <c r="M551" s="1" t="str">
        <f>IF(Table1[[#This Row],[Fasting_Blood_Sugar]]="Yes","Diabetic Risk","Normal")</f>
        <v>Normal</v>
      </c>
      <c r="N551" s="1" t="s">
        <v>27</v>
      </c>
      <c r="O551" s="1">
        <v>173</v>
      </c>
      <c r="P551" s="1" t="s">
        <v>14</v>
      </c>
      <c r="Q551" s="4" t="s">
        <v>14</v>
      </c>
      <c r="R551" s="1" t="str" cm="1">
        <f t="array" ref="R55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51" s="1">
        <f>IFERROR(Table1[[#This Row],[Cholesterol]]/Table1[[#This Row],[Max_Heart_Rate]],"")</f>
        <v>1.1618497109826589</v>
      </c>
    </row>
    <row r="552" spans="1:19">
      <c r="A552" s="3" t="s">
        <v>572</v>
      </c>
      <c r="B552" s="3" t="str">
        <f>RIGHT(Table1[[#This Row],[Patient_ID]],4)</f>
        <v>1550</v>
      </c>
      <c r="C552" s="1">
        <v>31</v>
      </c>
      <c r="D552" s="1" t="str">
        <f>VLOOKUP(Table1[[#This Row],[Age]],'Lookup &amp; Reference'!$G$2:$H$5,2,1)</f>
        <v>Low</v>
      </c>
      <c r="E552" s="1" t="s">
        <v>12</v>
      </c>
      <c r="F552" s="1" t="str">
        <f>_xlfn.CONCAT(LEFT(Table1[[#This Row],[Gender]],1),Table1[[#This Row],[Age]])</f>
        <v>F31</v>
      </c>
      <c r="G552" s="1" t="s">
        <v>22</v>
      </c>
      <c r="H552" s="1">
        <f>LEN(Table1[[#This Row],[Chest_Pain_Type]])</f>
        <v>15</v>
      </c>
      <c r="I552" s="1">
        <v>148</v>
      </c>
      <c r="J552" s="1" t="str" cm="1">
        <f t="array" ref="J55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2" s="1">
        <v>292</v>
      </c>
      <c r="L552" s="1" t="s">
        <v>14</v>
      </c>
      <c r="M552" s="1" t="str">
        <f>IF(Table1[[#This Row],[Fasting_Blood_Sugar]]="Yes","Diabetic Risk","Normal")</f>
        <v>Normal</v>
      </c>
      <c r="N552" s="1" t="s">
        <v>27</v>
      </c>
      <c r="O552" s="1">
        <v>208</v>
      </c>
      <c r="P552" s="1" t="s">
        <v>16</v>
      </c>
      <c r="Q552" s="4" t="s">
        <v>14</v>
      </c>
      <c r="R552" s="1" t="str" cm="1">
        <f t="array" ref="R55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52" s="1">
        <f>IFERROR(Table1[[#This Row],[Cholesterol]]/Table1[[#This Row],[Max_Heart_Rate]],"")</f>
        <v>1.4038461538461537</v>
      </c>
    </row>
    <row r="553" spans="1:19">
      <c r="A553" s="3" t="s">
        <v>573</v>
      </c>
      <c r="B553" s="3" t="str">
        <f>RIGHT(Table1[[#This Row],[Patient_ID]],4)</f>
        <v>1551</v>
      </c>
      <c r="C553" s="1">
        <v>29</v>
      </c>
      <c r="D553" s="1" t="e">
        <f>VLOOKUP(Table1[[#This Row],[Age]],'Lookup &amp; Reference'!$G$2:$H$5,2,1)</f>
        <v>#N/A</v>
      </c>
      <c r="E553" s="1" t="s">
        <v>12</v>
      </c>
      <c r="F553" s="1" t="str">
        <f>_xlfn.CONCAT(LEFT(Table1[[#This Row],[Gender]],1),Table1[[#This Row],[Age]])</f>
        <v>F29</v>
      </c>
      <c r="G553" s="1" t="s">
        <v>13</v>
      </c>
      <c r="H553" s="1">
        <f>LEN(Table1[[#This Row],[Chest_Pain_Type]])</f>
        <v>11</v>
      </c>
      <c r="I553" s="1">
        <v>92</v>
      </c>
      <c r="J553" s="1" t="str" cm="1">
        <f t="array" ref="J55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53" s="1">
        <v>154</v>
      </c>
      <c r="L553" s="1" t="s">
        <v>16</v>
      </c>
      <c r="M553" s="1" t="str">
        <f>IF(Table1[[#This Row],[Fasting_Blood_Sugar]]="Yes","Diabetic Risk","Normal")</f>
        <v>Diabetic Risk</v>
      </c>
      <c r="N553" s="1" t="s">
        <v>15</v>
      </c>
      <c r="O553" s="1">
        <v>117</v>
      </c>
      <c r="P553" s="1" t="s">
        <v>14</v>
      </c>
      <c r="Q553" s="4" t="s">
        <v>16</v>
      </c>
      <c r="R553" s="1" t="str" cm="1">
        <f t="array" ref="R55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53" s="1">
        <f>IFERROR(Table1[[#This Row],[Cholesterol]]/Table1[[#This Row],[Max_Heart_Rate]],"")</f>
        <v>1.3162393162393162</v>
      </c>
    </row>
    <row r="554" spans="1:19">
      <c r="A554" s="3" t="s">
        <v>574</v>
      </c>
      <c r="B554" s="3" t="str">
        <f>RIGHT(Table1[[#This Row],[Patient_ID]],4)</f>
        <v>1552</v>
      </c>
      <c r="C554" s="1">
        <v>61</v>
      </c>
      <c r="D554" s="1" t="str">
        <f>VLOOKUP(Table1[[#This Row],[Age]],'Lookup &amp; Reference'!$G$2:$H$5,2,1)</f>
        <v>High</v>
      </c>
      <c r="E554" s="1" t="s">
        <v>18</v>
      </c>
      <c r="F554" s="1" t="str">
        <f>_xlfn.CONCAT(LEFT(Table1[[#This Row],[Gender]],1),Table1[[#This Row],[Age]])</f>
        <v>M61</v>
      </c>
      <c r="G554" s="1" t="s">
        <v>13</v>
      </c>
      <c r="H554" s="1">
        <f>LEN(Table1[[#This Row],[Chest_Pain_Type]])</f>
        <v>11</v>
      </c>
      <c r="I554" s="1">
        <v>117</v>
      </c>
      <c r="J554" s="1" t="str" cm="1">
        <f t="array" ref="J55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54" s="1">
        <v>277</v>
      </c>
      <c r="L554" s="1" t="s">
        <v>14</v>
      </c>
      <c r="M554" s="1" t="str">
        <f>IF(Table1[[#This Row],[Fasting_Blood_Sugar]]="Yes","Diabetic Risk","Normal")</f>
        <v>Normal</v>
      </c>
      <c r="N554" s="1" t="s">
        <v>27</v>
      </c>
      <c r="O554" s="1">
        <v>105</v>
      </c>
      <c r="P554" s="1" t="s">
        <v>14</v>
      </c>
      <c r="Q554" s="4" t="s">
        <v>16</v>
      </c>
      <c r="R554" s="1" t="str" cm="1">
        <f t="array" ref="R55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54" s="1">
        <f>IFERROR(Table1[[#This Row],[Cholesterol]]/Table1[[#This Row],[Max_Heart_Rate]],"")</f>
        <v>2.638095238095238</v>
      </c>
    </row>
    <row r="555" spans="1:19">
      <c r="A555" s="3" t="s">
        <v>575</v>
      </c>
      <c r="B555" s="3" t="str">
        <f>RIGHT(Table1[[#This Row],[Patient_ID]],4)</f>
        <v>1553</v>
      </c>
      <c r="C555" s="1">
        <v>68</v>
      </c>
      <c r="D555" s="1" t="str">
        <f>VLOOKUP(Table1[[#This Row],[Age]],'Lookup &amp; Reference'!$G$2:$H$5,2,1)</f>
        <v>High</v>
      </c>
      <c r="E555" s="1" t="s">
        <v>12</v>
      </c>
      <c r="F555" s="1" t="str">
        <f>_xlfn.CONCAT(LEFT(Table1[[#This Row],[Gender]],1),Table1[[#This Row],[Age]])</f>
        <v>F68</v>
      </c>
      <c r="G555" s="1" t="s">
        <v>25</v>
      </c>
      <c r="H555" s="1">
        <f>LEN(Table1[[#This Row],[Chest_Pain_Type]])</f>
        <v>12</v>
      </c>
      <c r="I555" s="1">
        <v>163</v>
      </c>
      <c r="J555" s="1" t="str" cm="1">
        <f t="array" ref="J55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5" s="1">
        <v>335</v>
      </c>
      <c r="L555" s="1" t="s">
        <v>16</v>
      </c>
      <c r="M555" s="1" t="str">
        <f>IF(Table1[[#This Row],[Fasting_Blood_Sugar]]="Yes","Diabetic Risk","Normal")</f>
        <v>Diabetic Risk</v>
      </c>
      <c r="N555" s="1" t="s">
        <v>15</v>
      </c>
      <c r="O555" s="1">
        <v>136</v>
      </c>
      <c r="P555" s="1" t="s">
        <v>14</v>
      </c>
      <c r="Q555" s="4" t="s">
        <v>14</v>
      </c>
      <c r="R555" s="1" t="str" cm="1">
        <f t="array" ref="R55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55" s="1">
        <f>IFERROR(Table1[[#This Row],[Cholesterol]]/Table1[[#This Row],[Max_Heart_Rate]],"")</f>
        <v>2.4632352941176472</v>
      </c>
    </row>
    <row r="556" spans="1:19">
      <c r="A556" s="3" t="s">
        <v>576</v>
      </c>
      <c r="B556" s="3" t="str">
        <f>RIGHT(Table1[[#This Row],[Patient_ID]],4)</f>
        <v>1554</v>
      </c>
      <c r="C556" s="1">
        <v>38</v>
      </c>
      <c r="D556" s="1" t="str">
        <f>VLOOKUP(Table1[[#This Row],[Age]],'Lookup &amp; Reference'!$G$2:$H$5,2,1)</f>
        <v>Low</v>
      </c>
      <c r="E556" s="1" t="s">
        <v>18</v>
      </c>
      <c r="F556" s="1" t="str">
        <f>_xlfn.CONCAT(LEFT(Table1[[#This Row],[Gender]],1),Table1[[#This Row],[Age]])</f>
        <v>M38</v>
      </c>
      <c r="G556" s="1" t="s">
        <v>22</v>
      </c>
      <c r="H556" s="1">
        <f>LEN(Table1[[#This Row],[Chest_Pain_Type]])</f>
        <v>15</v>
      </c>
      <c r="I556" s="1">
        <v>124</v>
      </c>
      <c r="J556" s="1" t="str" cm="1">
        <f t="array" ref="J556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56" s="1">
        <v>277</v>
      </c>
      <c r="L556" s="1" t="s">
        <v>16</v>
      </c>
      <c r="M556" s="1" t="str">
        <f>IF(Table1[[#This Row],[Fasting_Blood_Sugar]]="Yes","Diabetic Risk","Normal")</f>
        <v>Diabetic Risk</v>
      </c>
      <c r="N556" s="1" t="s">
        <v>20</v>
      </c>
      <c r="O556" s="1">
        <v>170</v>
      </c>
      <c r="P556" s="1" t="s">
        <v>16</v>
      </c>
      <c r="Q556" s="4" t="s">
        <v>16</v>
      </c>
      <c r="R556" s="1" t="str" cm="1">
        <f t="array" ref="R55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56" s="1">
        <f>IFERROR(Table1[[#This Row],[Cholesterol]]/Table1[[#This Row],[Max_Heart_Rate]],"")</f>
        <v>1.6294117647058823</v>
      </c>
    </row>
    <row r="557" spans="1:19">
      <c r="A557" s="3" t="s">
        <v>577</v>
      </c>
      <c r="B557" s="3" t="str">
        <f>RIGHT(Table1[[#This Row],[Patient_ID]],4)</f>
        <v>1555</v>
      </c>
      <c r="C557" s="1">
        <v>71</v>
      </c>
      <c r="D557" s="1" t="str">
        <f>VLOOKUP(Table1[[#This Row],[Age]],'Lookup &amp; Reference'!$G$2:$H$5,2,1)</f>
        <v>High</v>
      </c>
      <c r="E557" s="1" t="s">
        <v>18</v>
      </c>
      <c r="F557" s="1" t="str">
        <f>_xlfn.CONCAT(LEFT(Table1[[#This Row],[Gender]],1),Table1[[#This Row],[Age]])</f>
        <v>M71</v>
      </c>
      <c r="G557" s="1" t="s">
        <v>22</v>
      </c>
      <c r="H557" s="1">
        <f>LEN(Table1[[#This Row],[Chest_Pain_Type]])</f>
        <v>15</v>
      </c>
      <c r="I557" s="1">
        <v>150</v>
      </c>
      <c r="J557" s="1" t="str" cm="1">
        <f t="array" ref="J55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7" s="1">
        <v>325</v>
      </c>
      <c r="L557" s="1" t="s">
        <v>16</v>
      </c>
      <c r="M557" s="1" t="str">
        <f>IF(Table1[[#This Row],[Fasting_Blood_Sugar]]="Yes","Diabetic Risk","Normal")</f>
        <v>Diabetic Risk</v>
      </c>
      <c r="N557" s="1" t="s">
        <v>15</v>
      </c>
      <c r="O557" s="1">
        <v>193</v>
      </c>
      <c r="P557" s="1" t="s">
        <v>16</v>
      </c>
      <c r="Q557" s="4" t="s">
        <v>14</v>
      </c>
      <c r="R557" s="1" t="str" cm="1">
        <f t="array" ref="R55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57" s="1">
        <f>IFERROR(Table1[[#This Row],[Cholesterol]]/Table1[[#This Row],[Max_Heart_Rate]],"")</f>
        <v>1.6839378238341969</v>
      </c>
    </row>
    <row r="558" spans="1:19">
      <c r="A558" s="3" t="s">
        <v>578</v>
      </c>
      <c r="B558" s="3" t="str">
        <f>RIGHT(Table1[[#This Row],[Patient_ID]],4)</f>
        <v>1556</v>
      </c>
      <c r="C558" s="1">
        <v>72</v>
      </c>
      <c r="D558" s="1" t="str">
        <f>VLOOKUP(Table1[[#This Row],[Age]],'Lookup &amp; Reference'!$G$2:$H$5,2,1)</f>
        <v>High</v>
      </c>
      <c r="E558" s="1" t="s">
        <v>18</v>
      </c>
      <c r="F558" s="1" t="str">
        <f>_xlfn.CONCAT(LEFT(Table1[[#This Row],[Gender]],1),Table1[[#This Row],[Age]])</f>
        <v>M72</v>
      </c>
      <c r="G558" s="1" t="s">
        <v>19</v>
      </c>
      <c r="H558" s="1">
        <f>LEN(Table1[[#This Row],[Chest_Pain_Type]])</f>
        <v>14</v>
      </c>
      <c r="I558" s="1">
        <v>182</v>
      </c>
      <c r="J558" s="1" t="str" cm="1">
        <f t="array" ref="J558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8" s="1">
        <v>253</v>
      </c>
      <c r="L558" s="1" t="s">
        <v>16</v>
      </c>
      <c r="M558" s="1" t="str">
        <f>IF(Table1[[#This Row],[Fasting_Blood_Sugar]]="Yes","Diabetic Risk","Normal")</f>
        <v>Diabetic Risk</v>
      </c>
      <c r="N558" s="1" t="s">
        <v>20</v>
      </c>
      <c r="O558" s="1">
        <v>181</v>
      </c>
      <c r="P558" s="1" t="s">
        <v>16</v>
      </c>
      <c r="Q558" s="4" t="s">
        <v>14</v>
      </c>
      <c r="R558" s="1" t="str" cm="1">
        <f t="array" ref="R55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58" s="1">
        <f>IFERROR(Table1[[#This Row],[Cholesterol]]/Table1[[#This Row],[Max_Heart_Rate]],"")</f>
        <v>1.3977900552486189</v>
      </c>
    </row>
    <row r="559" spans="1:19">
      <c r="A559" s="3" t="s">
        <v>579</v>
      </c>
      <c r="B559" s="3" t="str">
        <f>RIGHT(Table1[[#This Row],[Patient_ID]],4)</f>
        <v>1557</v>
      </c>
      <c r="C559" s="1">
        <v>57</v>
      </c>
      <c r="D559" s="1" t="str">
        <f>VLOOKUP(Table1[[#This Row],[Age]],'Lookup &amp; Reference'!$G$2:$H$5,2,1)</f>
        <v>Medium</v>
      </c>
      <c r="E559" s="1" t="s">
        <v>18</v>
      </c>
      <c r="F559" s="1" t="str">
        <f>_xlfn.CONCAT(LEFT(Table1[[#This Row],[Gender]],1),Table1[[#This Row],[Age]])</f>
        <v>M57</v>
      </c>
      <c r="G559" s="1" t="s">
        <v>25</v>
      </c>
      <c r="H559" s="1">
        <f>LEN(Table1[[#This Row],[Chest_Pain_Type]])</f>
        <v>12</v>
      </c>
      <c r="I559" s="1">
        <v>143</v>
      </c>
      <c r="J559" s="1" t="str" cm="1">
        <f t="array" ref="J55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59" s="1">
        <v>186</v>
      </c>
      <c r="L559" s="1" t="s">
        <v>16</v>
      </c>
      <c r="M559" s="1" t="str">
        <f>IF(Table1[[#This Row],[Fasting_Blood_Sugar]]="Yes","Diabetic Risk","Normal")</f>
        <v>Diabetic Risk</v>
      </c>
      <c r="N559" s="1" t="s">
        <v>27</v>
      </c>
      <c r="O559" s="1">
        <v>147</v>
      </c>
      <c r="P559" s="1" t="s">
        <v>14</v>
      </c>
      <c r="Q559" s="4" t="s">
        <v>16</v>
      </c>
      <c r="R559" s="1" t="str" cm="1">
        <f t="array" ref="R55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59" s="1">
        <f>IFERROR(Table1[[#This Row],[Cholesterol]]/Table1[[#This Row],[Max_Heart_Rate]],"")</f>
        <v>1.2653061224489797</v>
      </c>
    </row>
    <row r="560" spans="1:19">
      <c r="A560" s="3" t="s">
        <v>580</v>
      </c>
      <c r="B560" s="3" t="str">
        <f>RIGHT(Table1[[#This Row],[Patient_ID]],4)</f>
        <v>1558</v>
      </c>
      <c r="C560" s="1">
        <v>41</v>
      </c>
      <c r="D560" s="1" t="str">
        <f>VLOOKUP(Table1[[#This Row],[Age]],'Lookup &amp; Reference'!$G$2:$H$5,2,1)</f>
        <v>Low</v>
      </c>
      <c r="E560" s="1" t="s">
        <v>18</v>
      </c>
      <c r="F560" s="1" t="str">
        <f>_xlfn.CONCAT(LEFT(Table1[[#This Row],[Gender]],1),Table1[[#This Row],[Age]])</f>
        <v>M41</v>
      </c>
      <c r="G560" s="1" t="s">
        <v>19</v>
      </c>
      <c r="H560" s="1">
        <f>LEN(Table1[[#This Row],[Chest_Pain_Type]])</f>
        <v>14</v>
      </c>
      <c r="I560" s="1">
        <v>152</v>
      </c>
      <c r="J560" s="1" t="str" cm="1">
        <f t="array" ref="J56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60" s="1">
        <v>199</v>
      </c>
      <c r="L560" s="1" t="s">
        <v>16</v>
      </c>
      <c r="M560" s="1" t="str">
        <f>IF(Table1[[#This Row],[Fasting_Blood_Sugar]]="Yes","Diabetic Risk","Normal")</f>
        <v>Diabetic Risk</v>
      </c>
      <c r="N560" s="1" t="s">
        <v>20</v>
      </c>
      <c r="O560" s="1">
        <v>165</v>
      </c>
      <c r="P560" s="1" t="s">
        <v>16</v>
      </c>
      <c r="Q560" s="4" t="s">
        <v>16</v>
      </c>
      <c r="R560" s="1" t="str" cm="1">
        <f t="array" ref="R56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0" s="1">
        <f>IFERROR(Table1[[#This Row],[Cholesterol]]/Table1[[#This Row],[Max_Heart_Rate]],"")</f>
        <v>1.2060606060606061</v>
      </c>
    </row>
    <row r="561" spans="1:19">
      <c r="A561" s="3" t="s">
        <v>581</v>
      </c>
      <c r="B561" s="3" t="str">
        <f>RIGHT(Table1[[#This Row],[Patient_ID]],4)</f>
        <v>1559</v>
      </c>
      <c r="C561" s="1">
        <v>40</v>
      </c>
      <c r="D561" s="1" t="str">
        <f>VLOOKUP(Table1[[#This Row],[Age]],'Lookup &amp; Reference'!$G$2:$H$5,2,1)</f>
        <v>Low</v>
      </c>
      <c r="E561" s="1" t="s">
        <v>18</v>
      </c>
      <c r="F561" s="1" t="str">
        <f>_xlfn.CONCAT(LEFT(Table1[[#This Row],[Gender]],1),Table1[[#This Row],[Age]])</f>
        <v>M40</v>
      </c>
      <c r="G561" s="1" t="s">
        <v>22</v>
      </c>
      <c r="H561" s="1">
        <f>LEN(Table1[[#This Row],[Chest_Pain_Type]])</f>
        <v>15</v>
      </c>
      <c r="I561" s="1">
        <v>168</v>
      </c>
      <c r="J561" s="1" t="str" cm="1">
        <f t="array" ref="J56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61" s="1">
        <v>126</v>
      </c>
      <c r="L561" s="1" t="s">
        <v>14</v>
      </c>
      <c r="M561" s="1" t="str">
        <f>IF(Table1[[#This Row],[Fasting_Blood_Sugar]]="Yes","Diabetic Risk","Normal")</f>
        <v>Normal</v>
      </c>
      <c r="N561" s="1" t="s">
        <v>27</v>
      </c>
      <c r="O561" s="1">
        <v>116</v>
      </c>
      <c r="P561" s="1" t="s">
        <v>14</v>
      </c>
      <c r="Q561" s="4" t="s">
        <v>14</v>
      </c>
      <c r="R561" s="1" t="str" cm="1">
        <f t="array" ref="R56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1" s="1">
        <f>IFERROR(Table1[[#This Row],[Cholesterol]]/Table1[[#This Row],[Max_Heart_Rate]],"")</f>
        <v>1.0862068965517242</v>
      </c>
    </row>
    <row r="562" spans="1:19">
      <c r="A562" s="3" t="s">
        <v>582</v>
      </c>
      <c r="B562" s="3" t="str">
        <f>RIGHT(Table1[[#This Row],[Patient_ID]],4)</f>
        <v>1560</v>
      </c>
      <c r="C562" s="1">
        <v>59</v>
      </c>
      <c r="D562" s="1" t="str">
        <f>VLOOKUP(Table1[[#This Row],[Age]],'Lookup &amp; Reference'!$G$2:$H$5,2,1)</f>
        <v>Medium</v>
      </c>
      <c r="E562" s="1" t="s">
        <v>12</v>
      </c>
      <c r="F562" s="1" t="str">
        <f>_xlfn.CONCAT(LEFT(Table1[[#This Row],[Gender]],1),Table1[[#This Row],[Age]])</f>
        <v>F59</v>
      </c>
      <c r="G562" s="1" t="s">
        <v>25</v>
      </c>
      <c r="H562" s="1">
        <f>LEN(Table1[[#This Row],[Chest_Pain_Type]])</f>
        <v>12</v>
      </c>
      <c r="I562" s="1">
        <v>186</v>
      </c>
      <c r="J562" s="1" t="str" cm="1">
        <f t="array" ref="J56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62" s="1">
        <v>299</v>
      </c>
      <c r="L562" s="1" t="s">
        <v>16</v>
      </c>
      <c r="M562" s="1" t="str">
        <f>IF(Table1[[#This Row],[Fasting_Blood_Sugar]]="Yes","Diabetic Risk","Normal")</f>
        <v>Diabetic Risk</v>
      </c>
      <c r="N562" s="1" t="s">
        <v>15</v>
      </c>
      <c r="O562" s="1">
        <v>207</v>
      </c>
      <c r="P562" s="1" t="s">
        <v>14</v>
      </c>
      <c r="Q562" s="4" t="s">
        <v>16</v>
      </c>
      <c r="R562" s="1" t="str" cm="1">
        <f t="array" ref="R56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62" s="1">
        <f>IFERROR(Table1[[#This Row],[Cholesterol]]/Table1[[#This Row],[Max_Heart_Rate]],"")</f>
        <v>1.4444444444444444</v>
      </c>
    </row>
    <row r="563" spans="1:19">
      <c r="A563" s="3" t="s">
        <v>583</v>
      </c>
      <c r="B563" s="3" t="str">
        <f>RIGHT(Table1[[#This Row],[Patient_ID]],4)</f>
        <v>1561</v>
      </c>
      <c r="C563" s="1">
        <v>74</v>
      </c>
      <c r="D563" s="1" t="str">
        <f>VLOOKUP(Table1[[#This Row],[Age]],'Lookup &amp; Reference'!$G$2:$H$5,2,1)</f>
        <v>High</v>
      </c>
      <c r="E563" s="1" t="s">
        <v>18</v>
      </c>
      <c r="F563" s="1" t="str">
        <f>_xlfn.CONCAT(LEFT(Table1[[#This Row],[Gender]],1),Table1[[#This Row],[Age]])</f>
        <v>M74</v>
      </c>
      <c r="G563" s="1" t="s">
        <v>13</v>
      </c>
      <c r="H563" s="1">
        <f>LEN(Table1[[#This Row],[Chest_Pain_Type]])</f>
        <v>11</v>
      </c>
      <c r="I563" s="1">
        <v>96</v>
      </c>
      <c r="J563" s="1" t="str" cm="1">
        <f t="array" ref="J563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63" s="1">
        <v>133</v>
      </c>
      <c r="L563" s="1" t="s">
        <v>14</v>
      </c>
      <c r="M563" s="1" t="str">
        <f>IF(Table1[[#This Row],[Fasting_Blood_Sugar]]="Yes","Diabetic Risk","Normal")</f>
        <v>Normal</v>
      </c>
      <c r="N563" s="1" t="s">
        <v>27</v>
      </c>
      <c r="O563" s="1">
        <v>142</v>
      </c>
      <c r="P563" s="1" t="s">
        <v>16</v>
      </c>
      <c r="Q563" s="4" t="s">
        <v>16</v>
      </c>
      <c r="R563" s="1" t="str" cm="1">
        <f t="array" ref="R56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63" s="1">
        <f>IFERROR(Table1[[#This Row],[Cholesterol]]/Table1[[#This Row],[Max_Heart_Rate]],"")</f>
        <v>0.93661971830985913</v>
      </c>
    </row>
    <row r="564" spans="1:19">
      <c r="A564" s="3" t="s">
        <v>584</v>
      </c>
      <c r="B564" s="3" t="str">
        <f>RIGHT(Table1[[#This Row],[Patient_ID]],4)</f>
        <v>1562</v>
      </c>
      <c r="C564" s="1">
        <v>30</v>
      </c>
      <c r="D564" s="1" t="str">
        <f>VLOOKUP(Table1[[#This Row],[Age]],'Lookup &amp; Reference'!$G$2:$H$5,2,1)</f>
        <v>Low</v>
      </c>
      <c r="E564" s="1" t="s">
        <v>12</v>
      </c>
      <c r="F564" s="1" t="str">
        <f>_xlfn.CONCAT(LEFT(Table1[[#This Row],[Gender]],1),Table1[[#This Row],[Age]])</f>
        <v>F30</v>
      </c>
      <c r="G564" s="1" t="s">
        <v>25</v>
      </c>
      <c r="H564" s="1">
        <f>LEN(Table1[[#This Row],[Chest_Pain_Type]])</f>
        <v>12</v>
      </c>
      <c r="I564" s="1">
        <v>165</v>
      </c>
      <c r="J564" s="1" t="str" cm="1">
        <f t="array" ref="J56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64" s="1">
        <v>192</v>
      </c>
      <c r="L564" s="1" t="s">
        <v>14</v>
      </c>
      <c r="M564" s="1" t="str">
        <f>IF(Table1[[#This Row],[Fasting_Blood_Sugar]]="Yes","Diabetic Risk","Normal")</f>
        <v>Normal</v>
      </c>
      <c r="N564" s="1" t="s">
        <v>15</v>
      </c>
      <c r="O564" s="1">
        <v>131</v>
      </c>
      <c r="P564" s="1" t="s">
        <v>16</v>
      </c>
      <c r="Q564" s="4" t="s">
        <v>16</v>
      </c>
      <c r="R564" s="1" t="str" cm="1">
        <f t="array" ref="R56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4" s="1">
        <f>IFERROR(Table1[[#This Row],[Cholesterol]]/Table1[[#This Row],[Max_Heart_Rate]],"")</f>
        <v>1.4656488549618321</v>
      </c>
    </row>
    <row r="565" spans="1:19">
      <c r="A565" s="3" t="s">
        <v>585</v>
      </c>
      <c r="B565" s="3" t="str">
        <f>RIGHT(Table1[[#This Row],[Patient_ID]],4)</f>
        <v>1563</v>
      </c>
      <c r="C565" s="1">
        <v>79</v>
      </c>
      <c r="D565" s="1" t="str">
        <f>VLOOKUP(Table1[[#This Row],[Age]],'Lookup &amp; Reference'!$G$2:$H$5,2,1)</f>
        <v>High</v>
      </c>
      <c r="E565" s="1" t="s">
        <v>12</v>
      </c>
      <c r="F565" s="1" t="str">
        <f>_xlfn.CONCAT(LEFT(Table1[[#This Row],[Gender]],1),Table1[[#This Row],[Age]])</f>
        <v>F79</v>
      </c>
      <c r="G565" s="1" t="s">
        <v>13</v>
      </c>
      <c r="H565" s="1">
        <f>LEN(Table1[[#This Row],[Chest_Pain_Type]])</f>
        <v>11</v>
      </c>
      <c r="I565" s="1">
        <v>138</v>
      </c>
      <c r="J565" s="1" t="str" cm="1">
        <f t="array" ref="J565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65" s="1">
        <v>262</v>
      </c>
      <c r="L565" s="1" t="s">
        <v>16</v>
      </c>
      <c r="M565" s="1" t="str">
        <f>IF(Table1[[#This Row],[Fasting_Blood_Sugar]]="Yes","Diabetic Risk","Normal")</f>
        <v>Diabetic Risk</v>
      </c>
      <c r="N565" s="1" t="s">
        <v>15</v>
      </c>
      <c r="O565" s="1">
        <v>148</v>
      </c>
      <c r="P565" s="1" t="s">
        <v>14</v>
      </c>
      <c r="Q565" s="4" t="s">
        <v>16</v>
      </c>
      <c r="R565" s="1" t="str" cm="1">
        <f t="array" ref="R56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65" s="1">
        <f>IFERROR(Table1[[#This Row],[Cholesterol]]/Table1[[#This Row],[Max_Heart_Rate]],"")</f>
        <v>1.7702702702702702</v>
      </c>
    </row>
    <row r="566" spans="1:19">
      <c r="A566" s="3" t="s">
        <v>586</v>
      </c>
      <c r="B566" s="3" t="str">
        <f>RIGHT(Table1[[#This Row],[Patient_ID]],4)</f>
        <v>1564</v>
      </c>
      <c r="C566" s="1">
        <v>78</v>
      </c>
      <c r="D566" s="1" t="str">
        <f>VLOOKUP(Table1[[#This Row],[Age]],'Lookup &amp; Reference'!$G$2:$H$5,2,1)</f>
        <v>High</v>
      </c>
      <c r="E566" s="1" t="s">
        <v>18</v>
      </c>
      <c r="F566" s="1" t="str">
        <f>_xlfn.CONCAT(LEFT(Table1[[#This Row],[Gender]],1),Table1[[#This Row],[Age]])</f>
        <v>M78</v>
      </c>
      <c r="G566" s="1" t="s">
        <v>13</v>
      </c>
      <c r="H566" s="1">
        <f>LEN(Table1[[#This Row],[Chest_Pain_Type]])</f>
        <v>11</v>
      </c>
      <c r="I566" s="1">
        <v>183</v>
      </c>
      <c r="J566" s="1" t="str" cm="1">
        <f t="array" ref="J56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66" s="1">
        <v>268</v>
      </c>
      <c r="L566" s="1" t="s">
        <v>16</v>
      </c>
      <c r="M566" s="1" t="str">
        <f>IF(Table1[[#This Row],[Fasting_Blood_Sugar]]="Yes","Diabetic Risk","Normal")</f>
        <v>Diabetic Risk</v>
      </c>
      <c r="N566" s="1" t="s">
        <v>20</v>
      </c>
      <c r="O566" s="1">
        <v>136</v>
      </c>
      <c r="P566" s="1" t="s">
        <v>14</v>
      </c>
      <c r="Q566" s="4" t="s">
        <v>14</v>
      </c>
      <c r="R566" s="1" t="str" cm="1">
        <f t="array" ref="R56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6" s="1">
        <f>IFERROR(Table1[[#This Row],[Cholesterol]]/Table1[[#This Row],[Max_Heart_Rate]],"")</f>
        <v>1.9705882352941178</v>
      </c>
    </row>
    <row r="567" spans="1:19">
      <c r="A567" s="3" t="s">
        <v>587</v>
      </c>
      <c r="B567" s="3" t="str">
        <f>RIGHT(Table1[[#This Row],[Patient_ID]],4)</f>
        <v>1565</v>
      </c>
      <c r="C567" s="1">
        <v>63</v>
      </c>
      <c r="D567" s="1" t="str">
        <f>VLOOKUP(Table1[[#This Row],[Age]],'Lookup &amp; Reference'!$G$2:$H$5,2,1)</f>
        <v>High</v>
      </c>
      <c r="E567" s="1" t="s">
        <v>12</v>
      </c>
      <c r="F567" s="1" t="str">
        <f>_xlfn.CONCAT(LEFT(Table1[[#This Row],[Gender]],1),Table1[[#This Row],[Age]])</f>
        <v>F63</v>
      </c>
      <c r="G567" s="1" t="s">
        <v>25</v>
      </c>
      <c r="H567" s="1">
        <f>LEN(Table1[[#This Row],[Chest_Pain_Type]])</f>
        <v>12</v>
      </c>
      <c r="I567" s="1">
        <v>174</v>
      </c>
      <c r="J567" s="1" t="str" cm="1">
        <f t="array" ref="J56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67" s="1">
        <v>282</v>
      </c>
      <c r="L567" s="1" t="s">
        <v>16</v>
      </c>
      <c r="M567" s="1" t="str">
        <f>IF(Table1[[#This Row],[Fasting_Blood_Sugar]]="Yes","Diabetic Risk","Normal")</f>
        <v>Diabetic Risk</v>
      </c>
      <c r="N567" s="1" t="s">
        <v>20</v>
      </c>
      <c r="O567" s="1">
        <v>183</v>
      </c>
      <c r="P567" s="1" t="s">
        <v>16</v>
      </c>
      <c r="Q567" s="4" t="s">
        <v>14</v>
      </c>
      <c r="R567" s="1" t="str" cm="1">
        <f t="array" ref="R56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7" s="1">
        <f>IFERROR(Table1[[#This Row],[Cholesterol]]/Table1[[#This Row],[Max_Heart_Rate]],"")</f>
        <v>1.540983606557377</v>
      </c>
    </row>
    <row r="568" spans="1:19">
      <c r="A568" s="3" t="s">
        <v>588</v>
      </c>
      <c r="B568" s="3" t="str">
        <f>RIGHT(Table1[[#This Row],[Patient_ID]],4)</f>
        <v>1566</v>
      </c>
      <c r="C568" s="1">
        <v>51</v>
      </c>
      <c r="D568" s="1" t="str">
        <f>VLOOKUP(Table1[[#This Row],[Age]],'Lookup &amp; Reference'!$G$2:$H$5,2,1)</f>
        <v>Medium</v>
      </c>
      <c r="E568" s="1" t="s">
        <v>12</v>
      </c>
      <c r="F568" s="1" t="str">
        <f>_xlfn.CONCAT(LEFT(Table1[[#This Row],[Gender]],1),Table1[[#This Row],[Age]])</f>
        <v>F51</v>
      </c>
      <c r="G568" s="1" t="s">
        <v>13</v>
      </c>
      <c r="H568" s="1">
        <f>LEN(Table1[[#This Row],[Chest_Pain_Type]])</f>
        <v>11</v>
      </c>
      <c r="I568" s="1">
        <v>120</v>
      </c>
      <c r="J568" s="1" t="str" cm="1">
        <f t="array" ref="J56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68" s="1">
        <v>185</v>
      </c>
      <c r="L568" s="1" t="s">
        <v>14</v>
      </c>
      <c r="M568" s="1" t="str">
        <f>IF(Table1[[#This Row],[Fasting_Blood_Sugar]]="Yes","Diabetic Risk","Normal")</f>
        <v>Normal</v>
      </c>
      <c r="N568" s="1" t="s">
        <v>20</v>
      </c>
      <c r="O568" s="1">
        <v>194</v>
      </c>
      <c r="P568" s="1" t="s">
        <v>16</v>
      </c>
      <c r="Q568" s="4" t="s">
        <v>14</v>
      </c>
      <c r="R568" s="1" t="str" cm="1">
        <f t="array" ref="R56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8" s="1">
        <f>IFERROR(Table1[[#This Row],[Cholesterol]]/Table1[[#This Row],[Max_Heart_Rate]],"")</f>
        <v>0.95360824742268047</v>
      </c>
    </row>
    <row r="569" spans="1:19">
      <c r="A569" s="3" t="s">
        <v>589</v>
      </c>
      <c r="B569" s="3" t="str">
        <f>RIGHT(Table1[[#This Row],[Patient_ID]],4)</f>
        <v>1567</v>
      </c>
      <c r="C569" s="1">
        <v>45</v>
      </c>
      <c r="D569" s="1" t="str">
        <f>VLOOKUP(Table1[[#This Row],[Age]],'Lookup &amp; Reference'!$G$2:$H$5,2,1)</f>
        <v>Medium</v>
      </c>
      <c r="E569" s="1" t="s">
        <v>12</v>
      </c>
      <c r="F569" s="1" t="str">
        <f>_xlfn.CONCAT(LEFT(Table1[[#This Row],[Gender]],1),Table1[[#This Row],[Age]])</f>
        <v>F45</v>
      </c>
      <c r="G569" s="1" t="s">
        <v>19</v>
      </c>
      <c r="H569" s="1">
        <f>LEN(Table1[[#This Row],[Chest_Pain_Type]])</f>
        <v>14</v>
      </c>
      <c r="I569" s="1">
        <v>147</v>
      </c>
      <c r="J569" s="1" t="str" cm="1">
        <f t="array" ref="J569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69" s="1">
        <v>210</v>
      </c>
      <c r="L569" s="1" t="s">
        <v>16</v>
      </c>
      <c r="M569" s="1" t="str">
        <f>IF(Table1[[#This Row],[Fasting_Blood_Sugar]]="Yes","Diabetic Risk","Normal")</f>
        <v>Diabetic Risk</v>
      </c>
      <c r="N569" s="1" t="s">
        <v>20</v>
      </c>
      <c r="O569" s="1">
        <v>123</v>
      </c>
      <c r="P569" s="1" t="s">
        <v>16</v>
      </c>
      <c r="Q569" s="4" t="s">
        <v>14</v>
      </c>
      <c r="R569" s="1" t="str" cm="1">
        <f t="array" ref="R56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69" s="1">
        <f>IFERROR(Table1[[#This Row],[Cholesterol]]/Table1[[#This Row],[Max_Heart_Rate]],"")</f>
        <v>1.7073170731707317</v>
      </c>
    </row>
    <row r="570" spans="1:19">
      <c r="A570" s="3" t="s">
        <v>590</v>
      </c>
      <c r="B570" s="3" t="str">
        <f>RIGHT(Table1[[#This Row],[Patient_ID]],4)</f>
        <v>1568</v>
      </c>
      <c r="C570" s="1">
        <v>54</v>
      </c>
      <c r="D570" s="1" t="str">
        <f>VLOOKUP(Table1[[#This Row],[Age]],'Lookup &amp; Reference'!$G$2:$H$5,2,1)</f>
        <v>Medium</v>
      </c>
      <c r="E570" s="1" t="s">
        <v>12</v>
      </c>
      <c r="F570" s="1" t="str">
        <f>_xlfn.CONCAT(LEFT(Table1[[#This Row],[Gender]],1),Table1[[#This Row],[Age]])</f>
        <v>F54</v>
      </c>
      <c r="G570" s="1" t="s">
        <v>22</v>
      </c>
      <c r="H570" s="1">
        <f>LEN(Table1[[#This Row],[Chest_Pain_Type]])</f>
        <v>15</v>
      </c>
      <c r="I570" s="1">
        <v>150</v>
      </c>
      <c r="J570" s="1" t="str" cm="1">
        <f t="array" ref="J57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70" s="1">
        <v>249</v>
      </c>
      <c r="L570" s="1" t="s">
        <v>14</v>
      </c>
      <c r="M570" s="1" t="str">
        <f>IF(Table1[[#This Row],[Fasting_Blood_Sugar]]="Yes","Diabetic Risk","Normal")</f>
        <v>Normal</v>
      </c>
      <c r="N570" s="1" t="s">
        <v>27</v>
      </c>
      <c r="O570" s="1">
        <v>126</v>
      </c>
      <c r="P570" s="1" t="s">
        <v>14</v>
      </c>
      <c r="Q570" s="4" t="s">
        <v>16</v>
      </c>
      <c r="R570" s="1" t="str" cm="1">
        <f t="array" ref="R57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70" s="1">
        <f>IFERROR(Table1[[#This Row],[Cholesterol]]/Table1[[#This Row],[Max_Heart_Rate]],"")</f>
        <v>1.9761904761904763</v>
      </c>
    </row>
    <row r="571" spans="1:19">
      <c r="A571" s="3" t="s">
        <v>591</v>
      </c>
      <c r="B571" s="3" t="str">
        <f>RIGHT(Table1[[#This Row],[Patient_ID]],4)</f>
        <v>1569</v>
      </c>
      <c r="C571" s="1">
        <v>36</v>
      </c>
      <c r="D571" s="1" t="str">
        <f>VLOOKUP(Table1[[#This Row],[Age]],'Lookup &amp; Reference'!$G$2:$H$5,2,1)</f>
        <v>Low</v>
      </c>
      <c r="E571" s="1" t="s">
        <v>18</v>
      </c>
      <c r="F571" s="1" t="str">
        <f>_xlfn.CONCAT(LEFT(Table1[[#This Row],[Gender]],1),Table1[[#This Row],[Age]])</f>
        <v>M36</v>
      </c>
      <c r="G571" s="1" t="s">
        <v>13</v>
      </c>
      <c r="H571" s="1">
        <f>LEN(Table1[[#This Row],[Chest_Pain_Type]])</f>
        <v>11</v>
      </c>
      <c r="I571" s="1">
        <v>113</v>
      </c>
      <c r="J571" s="1" t="str" cm="1">
        <f t="array" ref="J571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71" s="1">
        <v>282</v>
      </c>
      <c r="L571" s="1" t="s">
        <v>16</v>
      </c>
      <c r="M571" s="1" t="str">
        <f>IF(Table1[[#This Row],[Fasting_Blood_Sugar]]="Yes","Diabetic Risk","Normal")</f>
        <v>Diabetic Risk</v>
      </c>
      <c r="N571" s="1" t="s">
        <v>27</v>
      </c>
      <c r="O571" s="1">
        <v>95</v>
      </c>
      <c r="P571" s="1" t="s">
        <v>14</v>
      </c>
      <c r="Q571" s="4" t="s">
        <v>16</v>
      </c>
      <c r="R571" s="1" t="str" cm="1">
        <f t="array" ref="R57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1" s="1">
        <f>IFERROR(Table1[[#This Row],[Cholesterol]]/Table1[[#This Row],[Max_Heart_Rate]],"")</f>
        <v>2.9684210526315788</v>
      </c>
    </row>
    <row r="572" spans="1:19">
      <c r="A572" s="3" t="s">
        <v>592</v>
      </c>
      <c r="B572" s="3" t="str">
        <f>RIGHT(Table1[[#This Row],[Patient_ID]],4)</f>
        <v>1570</v>
      </c>
      <c r="C572" s="1">
        <v>57</v>
      </c>
      <c r="D572" s="1" t="str">
        <f>VLOOKUP(Table1[[#This Row],[Age]],'Lookup &amp; Reference'!$G$2:$H$5,2,1)</f>
        <v>Medium</v>
      </c>
      <c r="E572" s="1" t="s">
        <v>12</v>
      </c>
      <c r="F572" s="1" t="str">
        <f>_xlfn.CONCAT(LEFT(Table1[[#This Row],[Gender]],1),Table1[[#This Row],[Age]])</f>
        <v>F57</v>
      </c>
      <c r="G572" s="1" t="s">
        <v>19</v>
      </c>
      <c r="H572" s="1">
        <f>LEN(Table1[[#This Row],[Chest_Pain_Type]])</f>
        <v>14</v>
      </c>
      <c r="I572" s="1">
        <v>109</v>
      </c>
      <c r="J572" s="1" t="str" cm="1">
        <f t="array" ref="J572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72" s="1">
        <v>329</v>
      </c>
      <c r="L572" s="1" t="s">
        <v>16</v>
      </c>
      <c r="M572" s="1" t="str">
        <f>IF(Table1[[#This Row],[Fasting_Blood_Sugar]]="Yes","Diabetic Risk","Normal")</f>
        <v>Diabetic Risk</v>
      </c>
      <c r="N572" s="1" t="s">
        <v>27</v>
      </c>
      <c r="O572" s="1">
        <v>96</v>
      </c>
      <c r="P572" s="1" t="s">
        <v>14</v>
      </c>
      <c r="Q572" s="4" t="s">
        <v>14</v>
      </c>
      <c r="R572" s="1" t="str" cm="1">
        <f t="array" ref="R57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2" s="1">
        <f>IFERROR(Table1[[#This Row],[Cholesterol]]/Table1[[#This Row],[Max_Heart_Rate]],"")</f>
        <v>3.4270833333333335</v>
      </c>
    </row>
    <row r="573" spans="1:19">
      <c r="A573" s="3" t="s">
        <v>593</v>
      </c>
      <c r="B573" s="3" t="str">
        <f>RIGHT(Table1[[#This Row],[Patient_ID]],4)</f>
        <v>1571</v>
      </c>
      <c r="C573" s="1">
        <v>54</v>
      </c>
      <c r="D573" s="1" t="str">
        <f>VLOOKUP(Table1[[#This Row],[Age]],'Lookup &amp; Reference'!$G$2:$H$5,2,1)</f>
        <v>Medium</v>
      </c>
      <c r="E573" s="1" t="s">
        <v>18</v>
      </c>
      <c r="F573" s="1" t="str">
        <f>_xlfn.CONCAT(LEFT(Table1[[#This Row],[Gender]],1),Table1[[#This Row],[Age]])</f>
        <v>M54</v>
      </c>
      <c r="G573" s="1" t="s">
        <v>13</v>
      </c>
      <c r="H573" s="1">
        <f>LEN(Table1[[#This Row],[Chest_Pain_Type]])</f>
        <v>11</v>
      </c>
      <c r="I573" s="1">
        <v>126</v>
      </c>
      <c r="J573" s="1" t="str" cm="1">
        <f t="array" ref="J57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73" s="1">
        <v>325</v>
      </c>
      <c r="L573" s="1" t="s">
        <v>14</v>
      </c>
      <c r="M573" s="1" t="str">
        <f>IF(Table1[[#This Row],[Fasting_Blood_Sugar]]="Yes","Diabetic Risk","Normal")</f>
        <v>Normal</v>
      </c>
      <c r="N573" s="1" t="s">
        <v>15</v>
      </c>
      <c r="O573" s="1">
        <v>185</v>
      </c>
      <c r="P573" s="1" t="s">
        <v>14</v>
      </c>
      <c r="Q573" s="4" t="s">
        <v>14</v>
      </c>
      <c r="R573" s="1" t="str" cm="1">
        <f t="array" ref="R57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3" s="1">
        <f>IFERROR(Table1[[#This Row],[Cholesterol]]/Table1[[#This Row],[Max_Heart_Rate]],"")</f>
        <v>1.7567567567567568</v>
      </c>
    </row>
    <row r="574" spans="1:19">
      <c r="A574" s="3" t="s">
        <v>594</v>
      </c>
      <c r="B574" s="3" t="str">
        <f>RIGHT(Table1[[#This Row],[Patient_ID]],4)</f>
        <v>1572</v>
      </c>
      <c r="C574" s="1">
        <v>38</v>
      </c>
      <c r="D574" s="1" t="str">
        <f>VLOOKUP(Table1[[#This Row],[Age]],'Lookup &amp; Reference'!$G$2:$H$5,2,1)</f>
        <v>Low</v>
      </c>
      <c r="E574" s="1" t="s">
        <v>12</v>
      </c>
      <c r="F574" s="1" t="str">
        <f>_xlfn.CONCAT(LEFT(Table1[[#This Row],[Gender]],1),Table1[[#This Row],[Age]])</f>
        <v>F38</v>
      </c>
      <c r="G574" s="1" t="s">
        <v>22</v>
      </c>
      <c r="H574" s="1">
        <f>LEN(Table1[[#This Row],[Chest_Pain_Type]])</f>
        <v>15</v>
      </c>
      <c r="I574" s="1">
        <v>93</v>
      </c>
      <c r="J574" s="1" t="str" cm="1">
        <f t="array" ref="J57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74" s="1">
        <v>139</v>
      </c>
      <c r="L574" s="1" t="s">
        <v>14</v>
      </c>
      <c r="M574" s="1" t="str">
        <f>IF(Table1[[#This Row],[Fasting_Blood_Sugar]]="Yes","Diabetic Risk","Normal")</f>
        <v>Normal</v>
      </c>
      <c r="N574" s="1" t="s">
        <v>27</v>
      </c>
      <c r="O574" s="1">
        <v>185</v>
      </c>
      <c r="P574" s="1" t="s">
        <v>14</v>
      </c>
      <c r="Q574" s="4" t="s">
        <v>16</v>
      </c>
      <c r="R574" s="1" t="str" cm="1">
        <f t="array" ref="R57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4" s="1">
        <f>IFERROR(Table1[[#This Row],[Cholesterol]]/Table1[[#This Row],[Max_Heart_Rate]],"")</f>
        <v>0.75135135135135134</v>
      </c>
    </row>
    <row r="575" spans="1:19">
      <c r="A575" s="3" t="s">
        <v>595</v>
      </c>
      <c r="B575" s="3" t="str">
        <f>RIGHT(Table1[[#This Row],[Patient_ID]],4)</f>
        <v>1573</v>
      </c>
      <c r="C575" s="1">
        <v>54</v>
      </c>
      <c r="D575" s="1" t="str">
        <f>VLOOKUP(Table1[[#This Row],[Age]],'Lookup &amp; Reference'!$G$2:$H$5,2,1)</f>
        <v>Medium</v>
      </c>
      <c r="E575" s="1" t="s">
        <v>12</v>
      </c>
      <c r="F575" s="1" t="str">
        <f>_xlfn.CONCAT(LEFT(Table1[[#This Row],[Gender]],1),Table1[[#This Row],[Age]])</f>
        <v>F54</v>
      </c>
      <c r="G575" s="1" t="s">
        <v>19</v>
      </c>
      <c r="H575" s="1">
        <f>LEN(Table1[[#This Row],[Chest_Pain_Type]])</f>
        <v>14</v>
      </c>
      <c r="I575" s="1">
        <v>181</v>
      </c>
      <c r="J575" s="1" t="str" cm="1">
        <f t="array" ref="J57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75" s="1">
        <v>329</v>
      </c>
      <c r="L575" s="1" t="s">
        <v>16</v>
      </c>
      <c r="M575" s="1" t="str">
        <f>IF(Table1[[#This Row],[Fasting_Blood_Sugar]]="Yes","Diabetic Risk","Normal")</f>
        <v>Diabetic Risk</v>
      </c>
      <c r="N575" s="1" t="s">
        <v>27</v>
      </c>
      <c r="O575" s="1">
        <v>206</v>
      </c>
      <c r="P575" s="1" t="s">
        <v>16</v>
      </c>
      <c r="Q575" s="4" t="s">
        <v>14</v>
      </c>
      <c r="R575" s="1" t="str" cm="1">
        <f t="array" ref="R57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5" s="1">
        <f>IFERROR(Table1[[#This Row],[Cholesterol]]/Table1[[#This Row],[Max_Heart_Rate]],"")</f>
        <v>1.5970873786407767</v>
      </c>
    </row>
    <row r="576" spans="1:19">
      <c r="A576" s="3" t="s">
        <v>596</v>
      </c>
      <c r="B576" s="3" t="str">
        <f>RIGHT(Table1[[#This Row],[Patient_ID]],4)</f>
        <v>1574</v>
      </c>
      <c r="C576" s="1">
        <v>62</v>
      </c>
      <c r="D576" s="1" t="str">
        <f>VLOOKUP(Table1[[#This Row],[Age]],'Lookup &amp; Reference'!$G$2:$H$5,2,1)</f>
        <v>High</v>
      </c>
      <c r="E576" s="1" t="s">
        <v>18</v>
      </c>
      <c r="F576" s="1" t="str">
        <f>_xlfn.CONCAT(LEFT(Table1[[#This Row],[Gender]],1),Table1[[#This Row],[Age]])</f>
        <v>M62</v>
      </c>
      <c r="G576" s="1" t="s">
        <v>22</v>
      </c>
      <c r="H576" s="1">
        <f>LEN(Table1[[#This Row],[Chest_Pain_Type]])</f>
        <v>15</v>
      </c>
      <c r="I576" s="1">
        <v>109</v>
      </c>
      <c r="J576" s="1" t="str" cm="1">
        <f t="array" ref="J57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76" s="1">
        <v>129</v>
      </c>
      <c r="L576" s="1" t="s">
        <v>14</v>
      </c>
      <c r="M576" s="1" t="str">
        <f>IF(Table1[[#This Row],[Fasting_Blood_Sugar]]="Yes","Diabetic Risk","Normal")</f>
        <v>Normal</v>
      </c>
      <c r="N576" s="1" t="s">
        <v>27</v>
      </c>
      <c r="O576" s="1">
        <v>114</v>
      </c>
      <c r="P576" s="1" t="s">
        <v>16</v>
      </c>
      <c r="Q576" s="4" t="s">
        <v>14</v>
      </c>
      <c r="R576" s="1" t="str" cm="1">
        <f t="array" ref="R57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6" s="1">
        <f>IFERROR(Table1[[#This Row],[Cholesterol]]/Table1[[#This Row],[Max_Heart_Rate]],"")</f>
        <v>1.131578947368421</v>
      </c>
    </row>
    <row r="577" spans="1:19">
      <c r="A577" s="3" t="s">
        <v>597</v>
      </c>
      <c r="B577" s="3" t="str">
        <f>RIGHT(Table1[[#This Row],[Patient_ID]],4)</f>
        <v>1575</v>
      </c>
      <c r="C577" s="1">
        <v>79</v>
      </c>
      <c r="D577" s="1" t="str">
        <f>VLOOKUP(Table1[[#This Row],[Age]],'Lookup &amp; Reference'!$G$2:$H$5,2,1)</f>
        <v>High</v>
      </c>
      <c r="E577" s="1" t="s">
        <v>12</v>
      </c>
      <c r="F577" s="1" t="str">
        <f>_xlfn.CONCAT(LEFT(Table1[[#This Row],[Gender]],1),Table1[[#This Row],[Age]])</f>
        <v>F79</v>
      </c>
      <c r="G577" s="1" t="s">
        <v>22</v>
      </c>
      <c r="H577" s="1">
        <f>LEN(Table1[[#This Row],[Chest_Pain_Type]])</f>
        <v>15</v>
      </c>
      <c r="I577" s="1">
        <v>149</v>
      </c>
      <c r="J577" s="1" t="str" cm="1">
        <f t="array" ref="J57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77" s="1">
        <v>144</v>
      </c>
      <c r="L577" s="1" t="s">
        <v>14</v>
      </c>
      <c r="M577" s="1" t="str">
        <f>IF(Table1[[#This Row],[Fasting_Blood_Sugar]]="Yes","Diabetic Risk","Normal")</f>
        <v>Normal</v>
      </c>
      <c r="N577" s="1" t="s">
        <v>20</v>
      </c>
      <c r="O577" s="1">
        <v>122</v>
      </c>
      <c r="P577" s="1" t="s">
        <v>14</v>
      </c>
      <c r="Q577" s="4" t="s">
        <v>16</v>
      </c>
      <c r="R577" s="1" t="str" cm="1">
        <f t="array" ref="R57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77" s="1">
        <f>IFERROR(Table1[[#This Row],[Cholesterol]]/Table1[[#This Row],[Max_Heart_Rate]],"")</f>
        <v>1.180327868852459</v>
      </c>
    </row>
    <row r="578" spans="1:19">
      <c r="A578" s="3" t="s">
        <v>598</v>
      </c>
      <c r="B578" s="3" t="str">
        <f>RIGHT(Table1[[#This Row],[Patient_ID]],4)</f>
        <v>1576</v>
      </c>
      <c r="C578" s="1">
        <v>69</v>
      </c>
      <c r="D578" s="1" t="str">
        <f>VLOOKUP(Table1[[#This Row],[Age]],'Lookup &amp; Reference'!$G$2:$H$5,2,1)</f>
        <v>High</v>
      </c>
      <c r="E578" s="1" t="s">
        <v>12</v>
      </c>
      <c r="F578" s="1" t="str">
        <f>_xlfn.CONCAT(LEFT(Table1[[#This Row],[Gender]],1),Table1[[#This Row],[Age]])</f>
        <v>F69</v>
      </c>
      <c r="G578" s="1" t="s">
        <v>19</v>
      </c>
      <c r="H578" s="1">
        <f>LEN(Table1[[#This Row],[Chest_Pain_Type]])</f>
        <v>14</v>
      </c>
      <c r="I578" s="1">
        <v>113</v>
      </c>
      <c r="J578" s="1" t="str" cm="1">
        <f t="array" ref="J57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78" s="1">
        <v>313</v>
      </c>
      <c r="L578" s="1" t="s">
        <v>14</v>
      </c>
      <c r="M578" s="1" t="str">
        <f>IF(Table1[[#This Row],[Fasting_Blood_Sugar]]="Yes","Diabetic Risk","Normal")</f>
        <v>Normal</v>
      </c>
      <c r="N578" s="1" t="s">
        <v>27</v>
      </c>
      <c r="O578" s="1">
        <v>144</v>
      </c>
      <c r="P578" s="1" t="s">
        <v>14</v>
      </c>
      <c r="Q578" s="4" t="s">
        <v>14</v>
      </c>
      <c r="R578" s="1" t="str" cm="1">
        <f t="array" ref="R57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8" s="1">
        <f>IFERROR(Table1[[#This Row],[Cholesterol]]/Table1[[#This Row],[Max_Heart_Rate]],"")</f>
        <v>2.1736111111111112</v>
      </c>
    </row>
    <row r="579" spans="1:19">
      <c r="A579" s="3" t="s">
        <v>599</v>
      </c>
      <c r="B579" s="3" t="str">
        <f>RIGHT(Table1[[#This Row],[Patient_ID]],4)</f>
        <v>1577</v>
      </c>
      <c r="C579" s="1">
        <v>35</v>
      </c>
      <c r="D579" s="1" t="str">
        <f>VLOOKUP(Table1[[#This Row],[Age]],'Lookup &amp; Reference'!$G$2:$H$5,2,1)</f>
        <v>Low</v>
      </c>
      <c r="E579" s="1" t="s">
        <v>12</v>
      </c>
      <c r="F579" s="1" t="str">
        <f>_xlfn.CONCAT(LEFT(Table1[[#This Row],[Gender]],1),Table1[[#This Row],[Age]])</f>
        <v>F35</v>
      </c>
      <c r="G579" s="1" t="s">
        <v>19</v>
      </c>
      <c r="H579" s="1">
        <f>LEN(Table1[[#This Row],[Chest_Pain_Type]])</f>
        <v>14</v>
      </c>
      <c r="I579" s="1">
        <v>139</v>
      </c>
      <c r="J579" s="1" t="str" cm="1">
        <f t="array" ref="J57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79" s="1">
        <v>144</v>
      </c>
      <c r="L579" s="1" t="s">
        <v>14</v>
      </c>
      <c r="M579" s="1" t="str">
        <f>IF(Table1[[#This Row],[Fasting_Blood_Sugar]]="Yes","Diabetic Risk","Normal")</f>
        <v>Normal</v>
      </c>
      <c r="N579" s="1" t="s">
        <v>15</v>
      </c>
      <c r="O579" s="1">
        <v>147</v>
      </c>
      <c r="P579" s="1" t="s">
        <v>16</v>
      </c>
      <c r="Q579" s="4" t="s">
        <v>16</v>
      </c>
      <c r="R579" s="1" t="str" cm="1">
        <f t="array" ref="R57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79" s="1">
        <f>IFERROR(Table1[[#This Row],[Cholesterol]]/Table1[[#This Row],[Max_Heart_Rate]],"")</f>
        <v>0.97959183673469385</v>
      </c>
    </row>
    <row r="580" spans="1:19">
      <c r="A580" s="3" t="s">
        <v>600</v>
      </c>
      <c r="B580" s="3" t="str">
        <f>RIGHT(Table1[[#This Row],[Patient_ID]],4)</f>
        <v>1578</v>
      </c>
      <c r="C580" s="1">
        <v>32</v>
      </c>
      <c r="D580" s="1" t="str">
        <f>VLOOKUP(Table1[[#This Row],[Age]],'Lookup &amp; Reference'!$G$2:$H$5,2,1)</f>
        <v>Low</v>
      </c>
      <c r="E580" s="1" t="s">
        <v>18</v>
      </c>
      <c r="F580" s="1" t="str">
        <f>_xlfn.CONCAT(LEFT(Table1[[#This Row],[Gender]],1),Table1[[#This Row],[Age]])</f>
        <v>M32</v>
      </c>
      <c r="G580" s="1" t="s">
        <v>19</v>
      </c>
      <c r="H580" s="1">
        <f>LEN(Table1[[#This Row],[Chest_Pain_Type]])</f>
        <v>14</v>
      </c>
      <c r="I580" s="1">
        <v>138</v>
      </c>
      <c r="J580" s="1" t="str" cm="1">
        <f t="array" ref="J580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80" s="1">
        <v>173</v>
      </c>
      <c r="L580" s="1" t="s">
        <v>14</v>
      </c>
      <c r="M580" s="1" t="str">
        <f>IF(Table1[[#This Row],[Fasting_Blood_Sugar]]="Yes","Diabetic Risk","Normal")</f>
        <v>Normal</v>
      </c>
      <c r="N580" s="1" t="s">
        <v>20</v>
      </c>
      <c r="O580" s="1">
        <v>96</v>
      </c>
      <c r="P580" s="1" t="s">
        <v>16</v>
      </c>
      <c r="Q580" s="4" t="s">
        <v>16</v>
      </c>
      <c r="R580" s="1" t="str" cm="1">
        <f t="array" ref="R58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0" s="1">
        <f>IFERROR(Table1[[#This Row],[Cholesterol]]/Table1[[#This Row],[Max_Heart_Rate]],"")</f>
        <v>1.8020833333333333</v>
      </c>
    </row>
    <row r="581" spans="1:19">
      <c r="A581" s="3" t="s">
        <v>601</v>
      </c>
      <c r="B581" s="3" t="str">
        <f>RIGHT(Table1[[#This Row],[Patient_ID]],4)</f>
        <v>1579</v>
      </c>
      <c r="C581" s="1">
        <v>78</v>
      </c>
      <c r="D581" s="1" t="str">
        <f>VLOOKUP(Table1[[#This Row],[Age]],'Lookup &amp; Reference'!$G$2:$H$5,2,1)</f>
        <v>High</v>
      </c>
      <c r="E581" s="1" t="s">
        <v>12</v>
      </c>
      <c r="F581" s="1" t="str">
        <f>_xlfn.CONCAT(LEFT(Table1[[#This Row],[Gender]],1),Table1[[#This Row],[Age]])</f>
        <v>F78</v>
      </c>
      <c r="G581" s="1" t="s">
        <v>25</v>
      </c>
      <c r="H581" s="1">
        <f>LEN(Table1[[#This Row],[Chest_Pain_Type]])</f>
        <v>12</v>
      </c>
      <c r="I581" s="1">
        <v>140</v>
      </c>
      <c r="J581" s="1" t="str" cm="1">
        <f t="array" ref="J58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81" s="1">
        <v>152</v>
      </c>
      <c r="L581" s="1" t="s">
        <v>16</v>
      </c>
      <c r="M581" s="1" t="str">
        <f>IF(Table1[[#This Row],[Fasting_Blood_Sugar]]="Yes","Diabetic Risk","Normal")</f>
        <v>Diabetic Risk</v>
      </c>
      <c r="N581" s="1" t="s">
        <v>15</v>
      </c>
      <c r="O581" s="1">
        <v>205</v>
      </c>
      <c r="P581" s="1" t="s">
        <v>16</v>
      </c>
      <c r="Q581" s="4" t="s">
        <v>14</v>
      </c>
      <c r="R581" s="1" t="str" cm="1">
        <f t="array" ref="R58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1" s="1">
        <f>IFERROR(Table1[[#This Row],[Cholesterol]]/Table1[[#This Row],[Max_Heart_Rate]],"")</f>
        <v>0.74146341463414633</v>
      </c>
    </row>
    <row r="582" spans="1:19">
      <c r="A582" s="3" t="s">
        <v>602</v>
      </c>
      <c r="B582" s="3" t="str">
        <f>RIGHT(Table1[[#This Row],[Patient_ID]],4)</f>
        <v>1580</v>
      </c>
      <c r="C582" s="1">
        <v>73</v>
      </c>
      <c r="D582" s="1" t="str">
        <f>VLOOKUP(Table1[[#This Row],[Age]],'Lookup &amp; Reference'!$G$2:$H$5,2,1)</f>
        <v>High</v>
      </c>
      <c r="E582" s="1" t="s">
        <v>18</v>
      </c>
      <c r="F582" s="1" t="str">
        <f>_xlfn.CONCAT(LEFT(Table1[[#This Row],[Gender]],1),Table1[[#This Row],[Age]])</f>
        <v>M73</v>
      </c>
      <c r="G582" s="1" t="s">
        <v>19</v>
      </c>
      <c r="H582" s="1">
        <f>LEN(Table1[[#This Row],[Chest_Pain_Type]])</f>
        <v>14</v>
      </c>
      <c r="I582" s="1">
        <v>185</v>
      </c>
      <c r="J582" s="1" t="str" cm="1">
        <f t="array" ref="J582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82" s="1">
        <v>283</v>
      </c>
      <c r="L582" s="1" t="s">
        <v>16</v>
      </c>
      <c r="M582" s="1" t="str">
        <f>IF(Table1[[#This Row],[Fasting_Blood_Sugar]]="Yes","Diabetic Risk","Normal")</f>
        <v>Diabetic Risk</v>
      </c>
      <c r="N582" s="1" t="s">
        <v>27</v>
      </c>
      <c r="O582" s="1">
        <v>146</v>
      </c>
      <c r="P582" s="1" t="s">
        <v>16</v>
      </c>
      <c r="Q582" s="4" t="s">
        <v>16</v>
      </c>
      <c r="R582" s="1" t="str" cm="1">
        <f t="array" ref="R58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82" s="1">
        <f>IFERROR(Table1[[#This Row],[Cholesterol]]/Table1[[#This Row],[Max_Heart_Rate]],"")</f>
        <v>1.9383561643835616</v>
      </c>
    </row>
    <row r="583" spans="1:19">
      <c r="A583" s="3" t="s">
        <v>603</v>
      </c>
      <c r="B583" s="3" t="str">
        <f>RIGHT(Table1[[#This Row],[Patient_ID]],4)</f>
        <v>1581</v>
      </c>
      <c r="C583" s="1">
        <v>39</v>
      </c>
      <c r="D583" s="1" t="str">
        <f>VLOOKUP(Table1[[#This Row],[Age]],'Lookup &amp; Reference'!$G$2:$H$5,2,1)</f>
        <v>Low</v>
      </c>
      <c r="E583" s="1" t="s">
        <v>12</v>
      </c>
      <c r="F583" s="1" t="str">
        <f>_xlfn.CONCAT(LEFT(Table1[[#This Row],[Gender]],1),Table1[[#This Row],[Age]])</f>
        <v>F39</v>
      </c>
      <c r="G583" s="1" t="s">
        <v>19</v>
      </c>
      <c r="H583" s="1">
        <f>LEN(Table1[[#This Row],[Chest_Pain_Type]])</f>
        <v>14</v>
      </c>
      <c r="I583" s="1">
        <v>125</v>
      </c>
      <c r="J583" s="1" t="str" cm="1">
        <f t="array" ref="J583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83" s="1">
        <v>214</v>
      </c>
      <c r="L583" s="1" t="s">
        <v>14</v>
      </c>
      <c r="M583" s="1" t="str">
        <f>IF(Table1[[#This Row],[Fasting_Blood_Sugar]]="Yes","Diabetic Risk","Normal")</f>
        <v>Normal</v>
      </c>
      <c r="N583" s="1" t="s">
        <v>20</v>
      </c>
      <c r="O583" s="1">
        <v>101</v>
      </c>
      <c r="P583" s="1" t="s">
        <v>14</v>
      </c>
      <c r="Q583" s="4" t="s">
        <v>14</v>
      </c>
      <c r="R583" s="1" t="str" cm="1">
        <f t="array" ref="R58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3" s="1">
        <f>IFERROR(Table1[[#This Row],[Cholesterol]]/Table1[[#This Row],[Max_Heart_Rate]],"")</f>
        <v>2.1188118811881189</v>
      </c>
    </row>
    <row r="584" spans="1:19">
      <c r="A584" s="3" t="s">
        <v>604</v>
      </c>
      <c r="B584" s="3" t="str">
        <f>RIGHT(Table1[[#This Row],[Patient_ID]],4)</f>
        <v>1582</v>
      </c>
      <c r="C584" s="1">
        <v>57</v>
      </c>
      <c r="D584" s="1" t="str">
        <f>VLOOKUP(Table1[[#This Row],[Age]],'Lookup &amp; Reference'!$G$2:$H$5,2,1)</f>
        <v>Medium</v>
      </c>
      <c r="E584" s="1" t="s">
        <v>18</v>
      </c>
      <c r="F584" s="1" t="str">
        <f>_xlfn.CONCAT(LEFT(Table1[[#This Row],[Gender]],1),Table1[[#This Row],[Age]])</f>
        <v>M57</v>
      </c>
      <c r="G584" s="1" t="s">
        <v>19</v>
      </c>
      <c r="H584" s="1">
        <f>LEN(Table1[[#This Row],[Chest_Pain_Type]])</f>
        <v>14</v>
      </c>
      <c r="I584" s="1">
        <v>187</v>
      </c>
      <c r="J584" s="1" t="str" cm="1">
        <f t="array" ref="J584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84" s="1">
        <v>133</v>
      </c>
      <c r="L584" s="1" t="s">
        <v>16</v>
      </c>
      <c r="M584" s="1" t="str">
        <f>IF(Table1[[#This Row],[Fasting_Blood_Sugar]]="Yes","Diabetic Risk","Normal")</f>
        <v>Diabetic Risk</v>
      </c>
      <c r="N584" s="1" t="s">
        <v>15</v>
      </c>
      <c r="O584" s="1">
        <v>105</v>
      </c>
      <c r="P584" s="1" t="s">
        <v>16</v>
      </c>
      <c r="Q584" s="4" t="s">
        <v>16</v>
      </c>
      <c r="R584" s="1" t="str" cm="1">
        <f t="array" ref="R58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84" s="1">
        <f>IFERROR(Table1[[#This Row],[Cholesterol]]/Table1[[#This Row],[Max_Heart_Rate]],"")</f>
        <v>1.2666666666666666</v>
      </c>
    </row>
    <row r="585" spans="1:19">
      <c r="A585" s="3" t="s">
        <v>605</v>
      </c>
      <c r="B585" s="3" t="str">
        <f>RIGHT(Table1[[#This Row],[Patient_ID]],4)</f>
        <v>1583</v>
      </c>
      <c r="C585" s="1">
        <v>64</v>
      </c>
      <c r="D585" s="1" t="str">
        <f>VLOOKUP(Table1[[#This Row],[Age]],'Lookup &amp; Reference'!$G$2:$H$5,2,1)</f>
        <v>High</v>
      </c>
      <c r="E585" s="1" t="s">
        <v>18</v>
      </c>
      <c r="F585" s="1" t="str">
        <f>_xlfn.CONCAT(LEFT(Table1[[#This Row],[Gender]],1),Table1[[#This Row],[Age]])</f>
        <v>M64</v>
      </c>
      <c r="G585" s="1" t="s">
        <v>19</v>
      </c>
      <c r="H585" s="1">
        <f>LEN(Table1[[#This Row],[Chest_Pain_Type]])</f>
        <v>14</v>
      </c>
      <c r="I585" s="1">
        <v>189</v>
      </c>
      <c r="J585" s="1" t="str" cm="1">
        <f t="array" ref="J585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85" s="1">
        <v>184</v>
      </c>
      <c r="L585" s="1" t="s">
        <v>16</v>
      </c>
      <c r="M585" s="1" t="str">
        <f>IF(Table1[[#This Row],[Fasting_Blood_Sugar]]="Yes","Diabetic Risk","Normal")</f>
        <v>Diabetic Risk</v>
      </c>
      <c r="N585" s="1" t="s">
        <v>27</v>
      </c>
      <c r="O585" s="1">
        <v>169</v>
      </c>
      <c r="P585" s="1" t="s">
        <v>14</v>
      </c>
      <c r="Q585" s="4" t="s">
        <v>14</v>
      </c>
      <c r="R585" s="1" t="str" cm="1">
        <f t="array" ref="R58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5" s="1">
        <f>IFERROR(Table1[[#This Row],[Cholesterol]]/Table1[[#This Row],[Max_Heart_Rate]],"")</f>
        <v>1.0887573964497042</v>
      </c>
    </row>
    <row r="586" spans="1:19">
      <c r="A586" s="3" t="s">
        <v>606</v>
      </c>
      <c r="B586" s="3" t="str">
        <f>RIGHT(Table1[[#This Row],[Patient_ID]],4)</f>
        <v>1584</v>
      </c>
      <c r="C586" s="1">
        <v>53</v>
      </c>
      <c r="D586" s="1" t="str">
        <f>VLOOKUP(Table1[[#This Row],[Age]],'Lookup &amp; Reference'!$G$2:$H$5,2,1)</f>
        <v>Medium</v>
      </c>
      <c r="E586" s="1" t="s">
        <v>12</v>
      </c>
      <c r="F586" s="1" t="str">
        <f>_xlfn.CONCAT(LEFT(Table1[[#This Row],[Gender]],1),Table1[[#This Row],[Age]])</f>
        <v>F53</v>
      </c>
      <c r="G586" s="1" t="s">
        <v>13</v>
      </c>
      <c r="H586" s="1">
        <f>LEN(Table1[[#This Row],[Chest_Pain_Type]])</f>
        <v>11</v>
      </c>
      <c r="I586" s="1">
        <v>155</v>
      </c>
      <c r="J586" s="1" t="str" cm="1">
        <f t="array" ref="J586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86" s="1">
        <v>229</v>
      </c>
      <c r="L586" s="1" t="s">
        <v>14</v>
      </c>
      <c r="M586" s="1" t="str">
        <f>IF(Table1[[#This Row],[Fasting_Blood_Sugar]]="Yes","Diabetic Risk","Normal")</f>
        <v>Normal</v>
      </c>
      <c r="N586" s="1" t="s">
        <v>15</v>
      </c>
      <c r="O586" s="1">
        <v>132</v>
      </c>
      <c r="P586" s="1" t="s">
        <v>16</v>
      </c>
      <c r="Q586" s="4" t="s">
        <v>14</v>
      </c>
      <c r="R586" s="1" t="str" cm="1">
        <f t="array" ref="R58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6" s="1">
        <f>IFERROR(Table1[[#This Row],[Cholesterol]]/Table1[[#This Row],[Max_Heart_Rate]],"")</f>
        <v>1.7348484848484849</v>
      </c>
    </row>
    <row r="587" spans="1:19">
      <c r="A587" s="3" t="s">
        <v>607</v>
      </c>
      <c r="B587" s="3" t="str">
        <f>RIGHT(Table1[[#This Row],[Patient_ID]],4)</f>
        <v>1585</v>
      </c>
      <c r="C587" s="1">
        <v>49</v>
      </c>
      <c r="D587" s="1" t="str">
        <f>VLOOKUP(Table1[[#This Row],[Age]],'Lookup &amp; Reference'!$G$2:$H$5,2,1)</f>
        <v>Medium</v>
      </c>
      <c r="E587" s="1" t="s">
        <v>12</v>
      </c>
      <c r="F587" s="1" t="str">
        <f>_xlfn.CONCAT(LEFT(Table1[[#This Row],[Gender]],1),Table1[[#This Row],[Age]])</f>
        <v>F49</v>
      </c>
      <c r="G587" s="1" t="s">
        <v>25</v>
      </c>
      <c r="H587" s="1">
        <f>LEN(Table1[[#This Row],[Chest_Pain_Type]])</f>
        <v>12</v>
      </c>
      <c r="I587" s="1">
        <v>168</v>
      </c>
      <c r="J587" s="1" t="str" cm="1">
        <f t="array" ref="J587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87" s="1">
        <v>199</v>
      </c>
      <c r="L587" s="1" t="s">
        <v>16</v>
      </c>
      <c r="M587" s="1" t="str">
        <f>IF(Table1[[#This Row],[Fasting_Blood_Sugar]]="Yes","Diabetic Risk","Normal")</f>
        <v>Diabetic Risk</v>
      </c>
      <c r="N587" s="1" t="s">
        <v>15</v>
      </c>
      <c r="O587" s="1">
        <v>206</v>
      </c>
      <c r="P587" s="1" t="s">
        <v>16</v>
      </c>
      <c r="Q587" s="4" t="s">
        <v>14</v>
      </c>
      <c r="R587" s="1" t="str" cm="1">
        <f t="array" ref="R58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7" s="1">
        <f>IFERROR(Table1[[#This Row],[Cholesterol]]/Table1[[#This Row],[Max_Heart_Rate]],"")</f>
        <v>0.96601941747572817</v>
      </c>
    </row>
    <row r="588" spans="1:19">
      <c r="A588" s="3" t="s">
        <v>608</v>
      </c>
      <c r="B588" s="3" t="str">
        <f>RIGHT(Table1[[#This Row],[Patient_ID]],4)</f>
        <v>1586</v>
      </c>
      <c r="C588" s="1">
        <v>64</v>
      </c>
      <c r="D588" s="1" t="str">
        <f>VLOOKUP(Table1[[#This Row],[Age]],'Lookup &amp; Reference'!$G$2:$H$5,2,1)</f>
        <v>High</v>
      </c>
      <c r="E588" s="1" t="s">
        <v>18</v>
      </c>
      <c r="F588" s="1" t="str">
        <f>_xlfn.CONCAT(LEFT(Table1[[#This Row],[Gender]],1),Table1[[#This Row],[Age]])</f>
        <v>M64</v>
      </c>
      <c r="G588" s="1" t="s">
        <v>22</v>
      </c>
      <c r="H588" s="1">
        <f>LEN(Table1[[#This Row],[Chest_Pain_Type]])</f>
        <v>15</v>
      </c>
      <c r="I588" s="1">
        <v>123</v>
      </c>
      <c r="J588" s="1" t="str" cm="1">
        <f t="array" ref="J588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88" s="1">
        <v>173</v>
      </c>
      <c r="L588" s="1" t="s">
        <v>14</v>
      </c>
      <c r="M588" s="1" t="str">
        <f>IF(Table1[[#This Row],[Fasting_Blood_Sugar]]="Yes","Diabetic Risk","Normal")</f>
        <v>Normal</v>
      </c>
      <c r="N588" s="1" t="s">
        <v>15</v>
      </c>
      <c r="O588" s="1">
        <v>189</v>
      </c>
      <c r="P588" s="1" t="s">
        <v>16</v>
      </c>
      <c r="Q588" s="4" t="s">
        <v>16</v>
      </c>
      <c r="R588" s="1" t="str" cm="1">
        <f t="array" ref="R58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88" s="1">
        <f>IFERROR(Table1[[#This Row],[Cholesterol]]/Table1[[#This Row],[Max_Heart_Rate]],"")</f>
        <v>0.91534391534391535</v>
      </c>
    </row>
    <row r="589" spans="1:19">
      <c r="A589" s="3" t="s">
        <v>609</v>
      </c>
      <c r="B589" s="3" t="str">
        <f>RIGHT(Table1[[#This Row],[Patient_ID]],4)</f>
        <v>1587</v>
      </c>
      <c r="C589" s="1">
        <v>38</v>
      </c>
      <c r="D589" s="1" t="str">
        <f>VLOOKUP(Table1[[#This Row],[Age]],'Lookup &amp; Reference'!$G$2:$H$5,2,1)</f>
        <v>Low</v>
      </c>
      <c r="E589" s="1" t="s">
        <v>18</v>
      </c>
      <c r="F589" s="1" t="str">
        <f>_xlfn.CONCAT(LEFT(Table1[[#This Row],[Gender]],1),Table1[[#This Row],[Age]])</f>
        <v>M38</v>
      </c>
      <c r="G589" s="1" t="s">
        <v>19</v>
      </c>
      <c r="H589" s="1">
        <f>LEN(Table1[[#This Row],[Chest_Pain_Type]])</f>
        <v>14</v>
      </c>
      <c r="I589" s="1">
        <v>125</v>
      </c>
      <c r="J589" s="1" t="str" cm="1">
        <f t="array" ref="J589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89" s="1">
        <v>244</v>
      </c>
      <c r="L589" s="1" t="s">
        <v>14</v>
      </c>
      <c r="M589" s="1" t="str">
        <f>IF(Table1[[#This Row],[Fasting_Blood_Sugar]]="Yes","Diabetic Risk","Normal")</f>
        <v>Normal</v>
      </c>
      <c r="N589" s="1" t="s">
        <v>27</v>
      </c>
      <c r="O589" s="1">
        <v>166</v>
      </c>
      <c r="P589" s="1" t="s">
        <v>14</v>
      </c>
      <c r="Q589" s="4" t="s">
        <v>16</v>
      </c>
      <c r="R589" s="1" t="str" cm="1">
        <f t="array" ref="R58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89" s="1">
        <f>IFERROR(Table1[[#This Row],[Cholesterol]]/Table1[[#This Row],[Max_Heart_Rate]],"")</f>
        <v>1.4698795180722892</v>
      </c>
    </row>
    <row r="590" spans="1:19">
      <c r="A590" s="3" t="s">
        <v>610</v>
      </c>
      <c r="B590" s="3" t="str">
        <f>RIGHT(Table1[[#This Row],[Patient_ID]],4)</f>
        <v>1588</v>
      </c>
      <c r="C590" s="1">
        <v>65</v>
      </c>
      <c r="D590" s="1" t="str">
        <f>VLOOKUP(Table1[[#This Row],[Age]],'Lookup &amp; Reference'!$G$2:$H$5,2,1)</f>
        <v>High</v>
      </c>
      <c r="E590" s="1" t="s">
        <v>12</v>
      </c>
      <c r="F590" s="1" t="str">
        <f>_xlfn.CONCAT(LEFT(Table1[[#This Row],[Gender]],1),Table1[[#This Row],[Age]])</f>
        <v>F65</v>
      </c>
      <c r="G590" s="1" t="s">
        <v>13</v>
      </c>
      <c r="H590" s="1">
        <f>LEN(Table1[[#This Row],[Chest_Pain_Type]])</f>
        <v>11</v>
      </c>
      <c r="I590" s="1">
        <v>95</v>
      </c>
      <c r="J590" s="1" t="str" cm="1">
        <f t="array" ref="J590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90" s="1">
        <v>299</v>
      </c>
      <c r="L590" s="1" t="s">
        <v>16</v>
      </c>
      <c r="M590" s="1" t="str">
        <f>IF(Table1[[#This Row],[Fasting_Blood_Sugar]]="Yes","Diabetic Risk","Normal")</f>
        <v>Diabetic Risk</v>
      </c>
      <c r="N590" s="1" t="s">
        <v>27</v>
      </c>
      <c r="O590" s="1">
        <v>96</v>
      </c>
      <c r="P590" s="1" t="s">
        <v>14</v>
      </c>
      <c r="Q590" s="4" t="s">
        <v>14</v>
      </c>
      <c r="R590" s="1" t="str" cm="1">
        <f t="array" ref="R59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90" s="1">
        <f>IFERROR(Table1[[#This Row],[Cholesterol]]/Table1[[#This Row],[Max_Heart_Rate]],"")</f>
        <v>3.1145833333333335</v>
      </c>
    </row>
    <row r="591" spans="1:19">
      <c r="A591" s="3" t="s">
        <v>611</v>
      </c>
      <c r="B591" s="3" t="str">
        <f>RIGHT(Table1[[#This Row],[Patient_ID]],4)</f>
        <v>1589</v>
      </c>
      <c r="C591" s="1">
        <v>37</v>
      </c>
      <c r="D591" s="1" t="str">
        <f>VLOOKUP(Table1[[#This Row],[Age]],'Lookup &amp; Reference'!$G$2:$H$5,2,1)</f>
        <v>Low</v>
      </c>
      <c r="E591" s="1" t="s">
        <v>18</v>
      </c>
      <c r="F591" s="1" t="str">
        <f>_xlfn.CONCAT(LEFT(Table1[[#This Row],[Gender]],1),Table1[[#This Row],[Age]])</f>
        <v>M37</v>
      </c>
      <c r="G591" s="1" t="s">
        <v>13</v>
      </c>
      <c r="H591" s="1">
        <f>LEN(Table1[[#This Row],[Chest_Pain_Type]])</f>
        <v>11</v>
      </c>
      <c r="I591" s="1">
        <v>128</v>
      </c>
      <c r="J591" s="1" t="str" cm="1">
        <f t="array" ref="J591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91" s="1">
        <v>250</v>
      </c>
      <c r="L591" s="1" t="s">
        <v>14</v>
      </c>
      <c r="M591" s="1" t="str">
        <f>IF(Table1[[#This Row],[Fasting_Blood_Sugar]]="Yes","Diabetic Risk","Normal")</f>
        <v>Normal</v>
      </c>
      <c r="N591" s="1" t="s">
        <v>15</v>
      </c>
      <c r="O591" s="1">
        <v>189</v>
      </c>
      <c r="P591" s="1" t="s">
        <v>16</v>
      </c>
      <c r="Q591" s="4" t="s">
        <v>16</v>
      </c>
      <c r="R591" s="1" t="str" cm="1">
        <f t="array" ref="R59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91" s="1">
        <f>IFERROR(Table1[[#This Row],[Cholesterol]]/Table1[[#This Row],[Max_Heart_Rate]],"")</f>
        <v>1.3227513227513228</v>
      </c>
    </row>
    <row r="592" spans="1:19">
      <c r="A592" s="3" t="s">
        <v>612</v>
      </c>
      <c r="B592" s="3" t="str">
        <f>RIGHT(Table1[[#This Row],[Patient_ID]],4)</f>
        <v>1590</v>
      </c>
      <c r="C592" s="1">
        <v>52</v>
      </c>
      <c r="D592" s="1" t="str">
        <f>VLOOKUP(Table1[[#This Row],[Age]],'Lookup &amp; Reference'!$G$2:$H$5,2,1)</f>
        <v>Medium</v>
      </c>
      <c r="E592" s="1" t="s">
        <v>12</v>
      </c>
      <c r="F592" s="1" t="str">
        <f>_xlfn.CONCAT(LEFT(Table1[[#This Row],[Gender]],1),Table1[[#This Row],[Age]])</f>
        <v>F52</v>
      </c>
      <c r="G592" s="1" t="s">
        <v>13</v>
      </c>
      <c r="H592" s="1">
        <f>LEN(Table1[[#This Row],[Chest_Pain_Type]])</f>
        <v>11</v>
      </c>
      <c r="I592" s="1">
        <v>131</v>
      </c>
      <c r="J592" s="1" t="str" cm="1">
        <f t="array" ref="J592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92" s="1">
        <v>346</v>
      </c>
      <c r="L592" s="1" t="s">
        <v>14</v>
      </c>
      <c r="M592" s="1" t="str">
        <f>IF(Table1[[#This Row],[Fasting_Blood_Sugar]]="Yes","Diabetic Risk","Normal")</f>
        <v>Normal</v>
      </c>
      <c r="N592" s="1" t="s">
        <v>20</v>
      </c>
      <c r="O592" s="1">
        <v>200</v>
      </c>
      <c r="P592" s="1" t="s">
        <v>14</v>
      </c>
      <c r="Q592" s="4" t="s">
        <v>14</v>
      </c>
      <c r="R592" s="1" t="str" cm="1">
        <f t="array" ref="R59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92" s="1">
        <f>IFERROR(Table1[[#This Row],[Cholesterol]]/Table1[[#This Row],[Max_Heart_Rate]],"")</f>
        <v>1.73</v>
      </c>
    </row>
    <row r="593" spans="1:19">
      <c r="A593" s="3" t="s">
        <v>613</v>
      </c>
      <c r="B593" s="3" t="str">
        <f>RIGHT(Table1[[#This Row],[Patient_ID]],4)</f>
        <v>1591</v>
      </c>
      <c r="C593" s="1">
        <v>63</v>
      </c>
      <c r="D593" s="1" t="str">
        <f>VLOOKUP(Table1[[#This Row],[Age]],'Lookup &amp; Reference'!$G$2:$H$5,2,1)</f>
        <v>High</v>
      </c>
      <c r="E593" s="1" t="s">
        <v>12</v>
      </c>
      <c r="F593" s="1" t="str">
        <f>_xlfn.CONCAT(LEFT(Table1[[#This Row],[Gender]],1),Table1[[#This Row],[Age]])</f>
        <v>F63</v>
      </c>
      <c r="G593" s="1" t="s">
        <v>22</v>
      </c>
      <c r="H593" s="1">
        <f>LEN(Table1[[#This Row],[Chest_Pain_Type]])</f>
        <v>15</v>
      </c>
      <c r="I593" s="1">
        <v>147</v>
      </c>
      <c r="J593" s="1" t="str" cm="1">
        <f t="array" ref="J593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593" s="1">
        <v>288</v>
      </c>
      <c r="L593" s="1" t="s">
        <v>14</v>
      </c>
      <c r="M593" s="1" t="str">
        <f>IF(Table1[[#This Row],[Fasting_Blood_Sugar]]="Yes","Diabetic Risk","Normal")</f>
        <v>Normal</v>
      </c>
      <c r="N593" s="1" t="s">
        <v>20</v>
      </c>
      <c r="O593" s="1">
        <v>140</v>
      </c>
      <c r="P593" s="1" t="s">
        <v>14</v>
      </c>
      <c r="Q593" s="4" t="s">
        <v>14</v>
      </c>
      <c r="R593" s="1" t="str" cm="1">
        <f t="array" ref="R59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93" s="1">
        <f>IFERROR(Table1[[#This Row],[Cholesterol]]/Table1[[#This Row],[Max_Heart_Rate]],"")</f>
        <v>2.0571428571428569</v>
      </c>
    </row>
    <row r="594" spans="1:19">
      <c r="A594" s="3" t="s">
        <v>614</v>
      </c>
      <c r="B594" s="3" t="str">
        <f>RIGHT(Table1[[#This Row],[Patient_ID]],4)</f>
        <v>1592</v>
      </c>
      <c r="C594" s="1">
        <v>77</v>
      </c>
      <c r="D594" s="1" t="str">
        <f>VLOOKUP(Table1[[#This Row],[Age]],'Lookup &amp; Reference'!$G$2:$H$5,2,1)</f>
        <v>High</v>
      </c>
      <c r="E594" s="1" t="s">
        <v>12</v>
      </c>
      <c r="F594" s="1" t="str">
        <f>_xlfn.CONCAT(LEFT(Table1[[#This Row],[Gender]],1),Table1[[#This Row],[Age]])</f>
        <v>F77</v>
      </c>
      <c r="G594" s="1" t="s">
        <v>19</v>
      </c>
      <c r="H594" s="1">
        <f>LEN(Table1[[#This Row],[Chest_Pain_Type]])</f>
        <v>14</v>
      </c>
      <c r="I594" s="1">
        <v>101</v>
      </c>
      <c r="J594" s="1" t="str" cm="1">
        <f t="array" ref="J594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94" s="1">
        <v>253</v>
      </c>
      <c r="L594" s="1" t="s">
        <v>14</v>
      </c>
      <c r="M594" s="1" t="str">
        <f>IF(Table1[[#This Row],[Fasting_Blood_Sugar]]="Yes","Diabetic Risk","Normal")</f>
        <v>Normal</v>
      </c>
      <c r="N594" s="1" t="s">
        <v>27</v>
      </c>
      <c r="O594" s="1">
        <v>162</v>
      </c>
      <c r="P594" s="1" t="s">
        <v>16</v>
      </c>
      <c r="Q594" s="4" t="s">
        <v>16</v>
      </c>
      <c r="R594" s="1" t="str" cm="1">
        <f t="array" ref="R59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94" s="1">
        <f>IFERROR(Table1[[#This Row],[Cholesterol]]/Table1[[#This Row],[Max_Heart_Rate]],"")</f>
        <v>1.5617283950617284</v>
      </c>
    </row>
    <row r="595" spans="1:19">
      <c r="A595" s="3" t="s">
        <v>615</v>
      </c>
      <c r="B595" s="3" t="str">
        <f>RIGHT(Table1[[#This Row],[Patient_ID]],4)</f>
        <v>1593</v>
      </c>
      <c r="C595" s="1">
        <v>63</v>
      </c>
      <c r="D595" s="1" t="str">
        <f>VLOOKUP(Table1[[#This Row],[Age]],'Lookup &amp; Reference'!$G$2:$H$5,2,1)</f>
        <v>High</v>
      </c>
      <c r="E595" s="1" t="s">
        <v>12</v>
      </c>
      <c r="F595" s="1" t="str">
        <f>_xlfn.CONCAT(LEFT(Table1[[#This Row],[Gender]],1),Table1[[#This Row],[Age]])</f>
        <v>F63</v>
      </c>
      <c r="G595" s="1" t="s">
        <v>25</v>
      </c>
      <c r="H595" s="1">
        <f>LEN(Table1[[#This Row],[Chest_Pain_Type]])</f>
        <v>12</v>
      </c>
      <c r="I595" s="1">
        <v>92</v>
      </c>
      <c r="J595" s="1" t="str" cm="1">
        <f t="array" ref="J595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95" s="1">
        <v>144</v>
      </c>
      <c r="L595" s="1" t="s">
        <v>14</v>
      </c>
      <c r="M595" s="1" t="str">
        <f>IF(Table1[[#This Row],[Fasting_Blood_Sugar]]="Yes","Diabetic Risk","Normal")</f>
        <v>Normal</v>
      </c>
      <c r="N595" s="1" t="s">
        <v>27</v>
      </c>
      <c r="O595" s="1">
        <v>121</v>
      </c>
      <c r="P595" s="1" t="s">
        <v>16</v>
      </c>
      <c r="Q595" s="4" t="s">
        <v>14</v>
      </c>
      <c r="R595" s="1" t="str" cm="1">
        <f t="array" ref="R595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95" s="1">
        <f>IFERROR(Table1[[#This Row],[Cholesterol]]/Table1[[#This Row],[Max_Heart_Rate]],"")</f>
        <v>1.1900826446280992</v>
      </c>
    </row>
    <row r="596" spans="1:19">
      <c r="A596" s="3" t="s">
        <v>616</v>
      </c>
      <c r="B596" s="3" t="str">
        <f>RIGHT(Table1[[#This Row],[Patient_ID]],4)</f>
        <v>1594</v>
      </c>
      <c r="C596" s="1">
        <v>76</v>
      </c>
      <c r="D596" s="1" t="str">
        <f>VLOOKUP(Table1[[#This Row],[Age]],'Lookup &amp; Reference'!$G$2:$H$5,2,1)</f>
        <v>High</v>
      </c>
      <c r="E596" s="1" t="s">
        <v>18</v>
      </c>
      <c r="F596" s="1" t="str">
        <f>_xlfn.CONCAT(LEFT(Table1[[#This Row],[Gender]],1),Table1[[#This Row],[Age]])</f>
        <v>M76</v>
      </c>
      <c r="G596" s="1" t="s">
        <v>25</v>
      </c>
      <c r="H596" s="1">
        <f>LEN(Table1[[#This Row],[Chest_Pain_Type]])</f>
        <v>12</v>
      </c>
      <c r="I596" s="1">
        <v>107</v>
      </c>
      <c r="J596" s="1" t="str" cm="1">
        <f t="array" ref="J596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96" s="1">
        <v>260</v>
      </c>
      <c r="L596" s="1" t="s">
        <v>16</v>
      </c>
      <c r="M596" s="1" t="str">
        <f>IF(Table1[[#This Row],[Fasting_Blood_Sugar]]="Yes","Diabetic Risk","Normal")</f>
        <v>Diabetic Risk</v>
      </c>
      <c r="N596" s="1" t="s">
        <v>27</v>
      </c>
      <c r="O596" s="1">
        <v>164</v>
      </c>
      <c r="P596" s="1" t="s">
        <v>14</v>
      </c>
      <c r="Q596" s="4" t="s">
        <v>16</v>
      </c>
      <c r="R596" s="1" t="str" cm="1">
        <f t="array" ref="R596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596" s="1">
        <f>IFERROR(Table1[[#This Row],[Cholesterol]]/Table1[[#This Row],[Max_Heart_Rate]],"")</f>
        <v>1.5853658536585367</v>
      </c>
    </row>
    <row r="597" spans="1:19">
      <c r="A597" s="3" t="s">
        <v>617</v>
      </c>
      <c r="B597" s="3" t="str">
        <f>RIGHT(Table1[[#This Row],[Patient_ID]],4)</f>
        <v>1595</v>
      </c>
      <c r="C597" s="1">
        <v>64</v>
      </c>
      <c r="D597" s="1" t="str">
        <f>VLOOKUP(Table1[[#This Row],[Age]],'Lookup &amp; Reference'!$G$2:$H$5,2,1)</f>
        <v>High</v>
      </c>
      <c r="E597" s="1" t="s">
        <v>12</v>
      </c>
      <c r="F597" s="1" t="str">
        <f>_xlfn.CONCAT(LEFT(Table1[[#This Row],[Gender]],1),Table1[[#This Row],[Age]])</f>
        <v>F64</v>
      </c>
      <c r="G597" s="1" t="s">
        <v>13</v>
      </c>
      <c r="H597" s="1">
        <f>LEN(Table1[[#This Row],[Chest_Pain_Type]])</f>
        <v>11</v>
      </c>
      <c r="I597" s="1">
        <v>129</v>
      </c>
      <c r="J597" s="1" t="str" cm="1">
        <f t="array" ref="J597">_xlfn.IFS(OR(Table1[[#This Row],[Resting_BP]]&gt;140,Table1[[#This Row],[Resting_BP]]=140),"High BP",OR(Table1[[#This Row],[Resting_BP]]&gt;120,Table1[[#This Row],[Resting_BP]]=139),"Pre-High BP",Table1[[#This Row],[Resting_BP]],"Normal")</f>
        <v>Pre-High BP</v>
      </c>
      <c r="K597" s="1">
        <v>236</v>
      </c>
      <c r="L597" s="1" t="s">
        <v>16</v>
      </c>
      <c r="M597" s="1" t="str">
        <f>IF(Table1[[#This Row],[Fasting_Blood_Sugar]]="Yes","Diabetic Risk","Normal")</f>
        <v>Diabetic Risk</v>
      </c>
      <c r="N597" s="1" t="s">
        <v>27</v>
      </c>
      <c r="O597" s="1">
        <v>97</v>
      </c>
      <c r="P597" s="1" t="s">
        <v>14</v>
      </c>
      <c r="Q597" s="4" t="s">
        <v>14</v>
      </c>
      <c r="R597" s="1" t="str" cm="1">
        <f t="array" ref="R597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97" s="1">
        <f>IFERROR(Table1[[#This Row],[Cholesterol]]/Table1[[#This Row],[Max_Heart_Rate]],"")</f>
        <v>2.4329896907216493</v>
      </c>
    </row>
    <row r="598" spans="1:19">
      <c r="A598" s="3" t="s">
        <v>618</v>
      </c>
      <c r="B598" s="3" t="str">
        <f>RIGHT(Table1[[#This Row],[Patient_ID]],4)</f>
        <v>1596</v>
      </c>
      <c r="C598" s="1">
        <v>46</v>
      </c>
      <c r="D598" s="1" t="str">
        <f>VLOOKUP(Table1[[#This Row],[Age]],'Lookup &amp; Reference'!$G$2:$H$5,2,1)</f>
        <v>Medium</v>
      </c>
      <c r="E598" s="1" t="s">
        <v>18</v>
      </c>
      <c r="F598" s="1" t="str">
        <f>_xlfn.CONCAT(LEFT(Table1[[#This Row],[Gender]],1),Table1[[#This Row],[Age]])</f>
        <v>M46</v>
      </c>
      <c r="G598" s="1" t="s">
        <v>22</v>
      </c>
      <c r="H598" s="1">
        <f>LEN(Table1[[#This Row],[Chest_Pain_Type]])</f>
        <v>15</v>
      </c>
      <c r="I598" s="1">
        <v>110</v>
      </c>
      <c r="J598" s="1" t="str" cm="1">
        <f t="array" ref="J598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98" s="1">
        <v>345</v>
      </c>
      <c r="L598" s="1" t="s">
        <v>14</v>
      </c>
      <c r="M598" s="1" t="str">
        <f>IF(Table1[[#This Row],[Fasting_Blood_Sugar]]="Yes","Diabetic Risk","Normal")</f>
        <v>Normal</v>
      </c>
      <c r="N598" s="1" t="s">
        <v>27</v>
      </c>
      <c r="O598" s="1">
        <v>186</v>
      </c>
      <c r="P598" s="1" t="s">
        <v>14</v>
      </c>
      <c r="Q598" s="4" t="s">
        <v>16</v>
      </c>
      <c r="R598" s="1" t="str" cm="1">
        <f t="array" ref="R598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Medium Risk</v>
      </c>
      <c r="S598" s="1">
        <f>IFERROR(Table1[[#This Row],[Cholesterol]]/Table1[[#This Row],[Max_Heart_Rate]],"")</f>
        <v>1.8548387096774193</v>
      </c>
    </row>
    <row r="599" spans="1:19">
      <c r="A599" s="3" t="s">
        <v>619</v>
      </c>
      <c r="B599" s="3" t="str">
        <f>RIGHT(Table1[[#This Row],[Patient_ID]],4)</f>
        <v>1597</v>
      </c>
      <c r="C599" s="1">
        <v>77</v>
      </c>
      <c r="D599" s="1" t="str">
        <f>VLOOKUP(Table1[[#This Row],[Age]],'Lookup &amp; Reference'!$G$2:$H$5,2,1)</f>
        <v>High</v>
      </c>
      <c r="E599" s="1" t="s">
        <v>12</v>
      </c>
      <c r="F599" s="1" t="str">
        <f>_xlfn.CONCAT(LEFT(Table1[[#This Row],[Gender]],1),Table1[[#This Row],[Age]])</f>
        <v>F77</v>
      </c>
      <c r="G599" s="1" t="s">
        <v>22</v>
      </c>
      <c r="H599" s="1">
        <f>LEN(Table1[[#This Row],[Chest_Pain_Type]])</f>
        <v>15</v>
      </c>
      <c r="I599" s="1">
        <v>104</v>
      </c>
      <c r="J599" s="1" t="str" cm="1">
        <f t="array" ref="J599">_xlfn.IFS(OR(Table1[[#This Row],[Resting_BP]]&gt;140,Table1[[#This Row],[Resting_BP]]=140),"High BP",OR(Table1[[#This Row],[Resting_BP]]&gt;120,Table1[[#This Row],[Resting_BP]]=139),"Pre-High BP",Table1[[#This Row],[Resting_BP]],"Normal")</f>
        <v>Normal</v>
      </c>
      <c r="K599" s="1">
        <v>255</v>
      </c>
      <c r="L599" s="1" t="s">
        <v>14</v>
      </c>
      <c r="M599" s="1" t="str">
        <f>IF(Table1[[#This Row],[Fasting_Blood_Sugar]]="Yes","Diabetic Risk","Normal")</f>
        <v>Normal</v>
      </c>
      <c r="N599" s="1" t="s">
        <v>20</v>
      </c>
      <c r="O599" s="1">
        <v>176</v>
      </c>
      <c r="P599" s="1" t="s">
        <v>16</v>
      </c>
      <c r="Q599" s="4" t="s">
        <v>14</v>
      </c>
      <c r="R599" s="1" t="str" cm="1">
        <f t="array" ref="R599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599" s="1">
        <f>IFERROR(Table1[[#This Row],[Cholesterol]]/Table1[[#This Row],[Max_Heart_Rate]],"")</f>
        <v>1.4488636363636365</v>
      </c>
    </row>
    <row r="600" spans="1:19">
      <c r="A600" s="3" t="s">
        <v>620</v>
      </c>
      <c r="B600" s="3" t="str">
        <f>RIGHT(Table1[[#This Row],[Patient_ID]],4)</f>
        <v>1598</v>
      </c>
      <c r="C600" s="1">
        <v>67</v>
      </c>
      <c r="D600" s="1" t="str">
        <f>VLOOKUP(Table1[[#This Row],[Age]],'Lookup &amp; Reference'!$G$2:$H$5,2,1)</f>
        <v>High</v>
      </c>
      <c r="E600" s="1" t="s">
        <v>18</v>
      </c>
      <c r="F600" s="1" t="str">
        <f>_xlfn.CONCAT(LEFT(Table1[[#This Row],[Gender]],1),Table1[[#This Row],[Age]])</f>
        <v>M67</v>
      </c>
      <c r="G600" s="1" t="s">
        <v>22</v>
      </c>
      <c r="H600" s="1">
        <f>LEN(Table1[[#This Row],[Chest_Pain_Type]])</f>
        <v>15</v>
      </c>
      <c r="I600" s="1">
        <v>186</v>
      </c>
      <c r="J600" s="1" t="str" cm="1">
        <f t="array" ref="J600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600" s="1">
        <v>268</v>
      </c>
      <c r="L600" s="1" t="s">
        <v>16</v>
      </c>
      <c r="M600" s="1" t="str">
        <f>IF(Table1[[#This Row],[Fasting_Blood_Sugar]]="Yes","Diabetic Risk","Normal")</f>
        <v>Diabetic Risk</v>
      </c>
      <c r="N600" s="1" t="s">
        <v>27</v>
      </c>
      <c r="O600" s="1">
        <v>178</v>
      </c>
      <c r="P600" s="1" t="s">
        <v>16</v>
      </c>
      <c r="Q600" s="4" t="s">
        <v>14</v>
      </c>
      <c r="R600" s="1" t="str" cm="1">
        <f t="array" ref="R600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00" s="1">
        <f>IFERROR(Table1[[#This Row],[Cholesterol]]/Table1[[#This Row],[Max_Heart_Rate]],"")</f>
        <v>1.5056179775280898</v>
      </c>
    </row>
    <row r="601" spans="1:19">
      <c r="A601" s="8" t="s">
        <v>621</v>
      </c>
      <c r="B601" s="8" t="str">
        <f>RIGHT(Table1[[#This Row],[Patient_ID]],4)</f>
        <v>1599</v>
      </c>
      <c r="C601" s="9">
        <v>60</v>
      </c>
      <c r="D601" s="1" t="str">
        <f>VLOOKUP(Table1[[#This Row],[Age]],'Lookup &amp; Reference'!$G$2:$H$5,2,1)</f>
        <v>High</v>
      </c>
      <c r="E601" s="9" t="s">
        <v>12</v>
      </c>
      <c r="F601" s="9" t="str">
        <f>_xlfn.CONCAT(LEFT(Table1[[#This Row],[Gender]],1),Table1[[#This Row],[Age]])</f>
        <v>F60</v>
      </c>
      <c r="G601" s="9" t="s">
        <v>25</v>
      </c>
      <c r="H601" s="9">
        <f>LEN(Table1[[#This Row],[Chest_Pain_Type]])</f>
        <v>12</v>
      </c>
      <c r="I601" s="9">
        <v>188</v>
      </c>
      <c r="J601" s="9" t="str" cm="1">
        <f t="array" ref="J601">_xlfn.IFS(OR(Table1[[#This Row],[Resting_BP]]&gt;140,Table1[[#This Row],[Resting_BP]]=140),"High BP",OR(Table1[[#This Row],[Resting_BP]]&gt;120,Table1[[#This Row],[Resting_BP]]=139),"Pre-High BP",Table1[[#This Row],[Resting_BP]],"Normal")</f>
        <v>High BP</v>
      </c>
      <c r="K601" s="9">
        <v>345</v>
      </c>
      <c r="L601" s="9" t="s">
        <v>14</v>
      </c>
      <c r="M601" s="9" t="str">
        <f>IF(Table1[[#This Row],[Fasting_Blood_Sugar]]="Yes","Diabetic Risk","Normal")</f>
        <v>Normal</v>
      </c>
      <c r="N601" s="9" t="s">
        <v>15</v>
      </c>
      <c r="O601" s="9">
        <v>209</v>
      </c>
      <c r="P601" s="9" t="s">
        <v>14</v>
      </c>
      <c r="Q601" s="10" t="s">
        <v>16</v>
      </c>
      <c r="R601" s="1" t="str" cm="1">
        <f t="array" ref="R601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High Risk</v>
      </c>
      <c r="S601" s="1">
        <f>IFERROR(Table1[[#This Row],[Cholesterol]]/Table1[[#This Row],[Max_Heart_Rate]],"")</f>
        <v>1.6507177033492824</v>
      </c>
    </row>
    <row r="602" spans="1:19">
      <c r="A602" s="8"/>
      <c r="B602" s="8" t="str">
        <f>RIGHT(Table1[[#This Row],[Patient_ID]],4)</f>
        <v/>
      </c>
      <c r="C602" s="9"/>
      <c r="D602" s="1" t="e">
        <f>VLOOKUP(Table1[[#This Row],[Age]],'Lookup &amp; Reference'!$G$2:$H$5,2,1)</f>
        <v>#N/A</v>
      </c>
      <c r="E602" s="9"/>
      <c r="F602" s="9" t="str">
        <f>_xlfn.CONCAT(LEFT(Table1[[#This Row],[Gender]],1),Table1[[#This Row],[Age]])</f>
        <v/>
      </c>
      <c r="G602" s="9"/>
      <c r="H602" s="9">
        <f>LEN(Table1[[#This Row],[Chest_Pain_Type]])</f>
        <v>0</v>
      </c>
      <c r="I602" s="9"/>
      <c r="J602" s="24"/>
      <c r="K602" s="9"/>
      <c r="L602" s="9"/>
      <c r="M602" s="9" t="str">
        <f>IF(Table1[[#This Row],[Fasting_Blood_Sugar]]="Yes","Diabetic Risk","Normal")</f>
        <v>Normal</v>
      </c>
      <c r="N602" s="9"/>
      <c r="O602" s="9"/>
      <c r="P602" s="9"/>
      <c r="Q602" s="10"/>
      <c r="R602" s="1" t="str" cm="1">
        <f t="array" ref="R602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02" s="1" t="str">
        <f>IFERROR(Table1[[#This Row],[Cholesterol]]/Table1[[#This Row],[Max_Heart_Rate]],"")</f>
        <v/>
      </c>
    </row>
    <row r="603" spans="1:19">
      <c r="A603" s="8"/>
      <c r="B603" s="8" t="str">
        <f>RIGHT(Table1[[#This Row],[Patient_ID]],4)</f>
        <v/>
      </c>
      <c r="C603" s="9"/>
      <c r="D603" s="1" t="e">
        <f>VLOOKUP(Table1[[#This Row],[Age]],'Lookup &amp; Reference'!$G$2:$H$5,2,1)</f>
        <v>#N/A</v>
      </c>
      <c r="E603" s="9"/>
      <c r="F603" s="9" t="str">
        <f>_xlfn.CONCAT(LEFT(Table1[[#This Row],[Gender]],1),Table1[[#This Row],[Age]])</f>
        <v/>
      </c>
      <c r="G603" s="9"/>
      <c r="H603" s="9">
        <f>LEN(Table1[[#This Row],[Chest_Pain_Type]])</f>
        <v>0</v>
      </c>
      <c r="I603" s="9"/>
      <c r="J603" s="24"/>
      <c r="K603" s="9"/>
      <c r="L603" s="9"/>
      <c r="M603" s="9" t="str">
        <f>IF(Table1[[#This Row],[Fasting_Blood_Sugar]]="Yes","Diabetic Risk","Normal")</f>
        <v>Normal</v>
      </c>
      <c r="N603" s="9"/>
      <c r="O603" s="9"/>
      <c r="P603" s="9"/>
      <c r="Q603" s="10"/>
      <c r="R603" s="1" t="str" cm="1">
        <f t="array" ref="R603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03" s="1" t="str">
        <f>IFERROR(Table1[[#This Row],[Cholesterol]]/Table1[[#This Row],[Max_Heart_Rate]],"")</f>
        <v/>
      </c>
    </row>
    <row r="604" spans="1:19">
      <c r="A604" s="8"/>
      <c r="B604" s="8" t="str">
        <f>RIGHT(Table1[[#This Row],[Patient_ID]],4)</f>
        <v/>
      </c>
      <c r="C604" s="9"/>
      <c r="D604" s="1" t="e">
        <f>VLOOKUP(Table1[[#This Row],[Age]],'Lookup &amp; Reference'!$G$2:$H$5,2,1)</f>
        <v>#N/A</v>
      </c>
      <c r="E604" s="9"/>
      <c r="F604" s="9" t="str">
        <f>_xlfn.CONCAT(LEFT(Table1[[#This Row],[Gender]],1),Table1[[#This Row],[Age]])</f>
        <v/>
      </c>
      <c r="G604" s="9"/>
      <c r="H604" s="9">
        <f>LEN(Table1[[#This Row],[Chest_Pain_Type]])</f>
        <v>0</v>
      </c>
      <c r="I604" s="9"/>
      <c r="J604" s="24"/>
      <c r="K604" s="9"/>
      <c r="L604" s="9"/>
      <c r="M604" s="9" t="str">
        <f>IF(Table1[[#This Row],[Fasting_Blood_Sugar]]="Yes","Diabetic Risk","Normal")</f>
        <v>Normal</v>
      </c>
      <c r="N604" s="9"/>
      <c r="O604" s="9"/>
      <c r="P604" s="9"/>
      <c r="Q604" s="10"/>
      <c r="R604" s="9" t="str" cm="1">
        <f t="array" ref="R604">_xlfn.IFS(AND(Table1[[#This Row],[Age]]&gt;=60,Table1[[#This Row],[Heart_Disease]]="Yes"),"High Risk",AND(Table1[[#This Row],[Age]]&gt;=45,Table1[[#This Row],[Age]]&lt;=59,Table1[[#This Row],[Heart_Disease]]="Yes"),"Medium Risk",OR(Table1[[#This Row],[Age]]&lt;45,Table1[[#This Row],[Heart_Disease]]&lt;&gt;"Yes"),"No Risk")</f>
        <v>No Risk</v>
      </c>
      <c r="S604" s="9" t="str">
        <f>IFERROR(Table1[[#This Row],[Cholesterol]]/Table1[[#This Row],[Max_Heart_Rate]],"")</f>
        <v/>
      </c>
    </row>
  </sheetData>
  <conditionalFormatting sqref="K2:K601">
    <cfRule type="cellIs" dxfId="1" priority="2" operator="greaterThan">
      <formula>240</formula>
    </cfRule>
  </conditionalFormatting>
  <conditionalFormatting sqref="I2:I601">
    <cfRule type="cellIs" dxfId="0" priority="1" operator="greaterThan">
      <formula>160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711A-CF33-49A5-9857-4DE3788DA8D6}">
  <dimension ref="B2:D13"/>
  <sheetViews>
    <sheetView zoomScale="107" workbookViewId="0">
      <selection activeCell="E10" sqref="E10"/>
    </sheetView>
  </sheetViews>
  <sheetFormatPr defaultRowHeight="14.5"/>
  <sheetData>
    <row r="2" spans="2:4">
      <c r="B2" t="s">
        <v>622</v>
      </c>
    </row>
    <row r="4" spans="2:4">
      <c r="B4" t="s">
        <v>624</v>
      </c>
    </row>
    <row r="5" spans="2:4">
      <c r="B5" s="11"/>
      <c r="D5" s="11" t="s">
        <v>623</v>
      </c>
    </row>
    <row r="6" spans="2:4">
      <c r="B6" t="s">
        <v>628</v>
      </c>
    </row>
    <row r="7" spans="2:4">
      <c r="B7" s="11"/>
      <c r="D7" s="11" t="s">
        <v>625</v>
      </c>
    </row>
    <row r="8" spans="2:4">
      <c r="D8" s="11" t="s">
        <v>626</v>
      </c>
    </row>
    <row r="9" spans="2:4">
      <c r="D9" s="11" t="s">
        <v>627</v>
      </c>
    </row>
    <row r="11" spans="2:4">
      <c r="B11" t="s">
        <v>631</v>
      </c>
    </row>
    <row r="12" spans="2:4">
      <c r="B12" s="11"/>
      <c r="C12" s="11" t="s">
        <v>629</v>
      </c>
    </row>
    <row r="13" spans="2:4">
      <c r="C13" s="11" t="s">
        <v>630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4428-98C2-41CA-8C2E-762CCD75CB5B}">
  <dimension ref="B2:E33"/>
  <sheetViews>
    <sheetView topLeftCell="A24" zoomScale="120" workbookViewId="0">
      <selection activeCell="D32" sqref="D32"/>
    </sheetView>
  </sheetViews>
  <sheetFormatPr defaultRowHeight="14.5"/>
  <cols>
    <col min="3" max="3" width="29.7265625" customWidth="1"/>
    <col min="4" max="4" width="31.08984375" customWidth="1"/>
    <col min="5" max="5" width="28.6328125" customWidth="1"/>
  </cols>
  <sheetData>
    <row r="2" spans="2:5">
      <c r="B2" t="s">
        <v>632</v>
      </c>
    </row>
    <row r="4" spans="2:5">
      <c r="C4" s="2" t="s">
        <v>681</v>
      </c>
      <c r="D4" s="1">
        <f>COUNTIF(Dataset!Q2:$Q$601,"Yes")</f>
        <v>314</v>
      </c>
    </row>
    <row r="8" spans="2:5">
      <c r="B8" t="s">
        <v>633</v>
      </c>
    </row>
    <row r="9" spans="2:5">
      <c r="D9" s="2" t="s">
        <v>2</v>
      </c>
      <c r="E9" s="2" t="s">
        <v>682</v>
      </c>
    </row>
    <row r="10" spans="2:5">
      <c r="D10" s="1" t="str" cm="1">
        <f t="array" ref="D10:D11">_xlfn.UNIQUE(Dataset!$E$2:$E$601)</f>
        <v>Female</v>
      </c>
      <c r="E10" s="1">
        <f>COUNTIFS(Dataset!$E$2:$E$601,$D10,Dataset!$Q$2:$Q$601,"Yes")</f>
        <v>149</v>
      </c>
    </row>
    <row r="11" spans="2:5">
      <c r="D11" s="1" t="str">
        <v>Male</v>
      </c>
      <c r="E11" s="1">
        <f>COUNTIFS(Dataset!$E$2:$E$601,$D11,Dataset!$Q$2:$Q$601,"Yes")</f>
        <v>165</v>
      </c>
    </row>
    <row r="13" spans="2:5">
      <c r="B13" t="s">
        <v>636</v>
      </c>
    </row>
    <row r="14" spans="2:5">
      <c r="B14" s="11"/>
      <c r="D14" s="11" t="s">
        <v>634</v>
      </c>
    </row>
    <row r="15" spans="2:5">
      <c r="D15" s="11" t="s">
        <v>635</v>
      </c>
    </row>
    <row r="16" spans="2:5">
      <c r="D16" s="11"/>
    </row>
    <row r="17" spans="2:5">
      <c r="D17" s="26" t="s">
        <v>683</v>
      </c>
      <c r="E17" s="2" t="s">
        <v>684</v>
      </c>
    </row>
    <row r="18" spans="2:5">
      <c r="D18" s="25" t="s">
        <v>16</v>
      </c>
      <c r="E18" s="1">
        <f>AVERAGEIFS(Dataset!$K$2:$K$601,Dataset!$Q$2:$Q$601,$D18)</f>
        <v>231.95859872611464</v>
      </c>
    </row>
    <row r="19" spans="2:5">
      <c r="D19" s="25" t="s">
        <v>14</v>
      </c>
      <c r="E19" s="1">
        <f>AVERAGEIFS(Dataset!$K$2:$K$601,Dataset!$Q$2:$Q$601,$D19)</f>
        <v>232.41258741258741</v>
      </c>
    </row>
    <row r="20" spans="2:5">
      <c r="D20" s="11"/>
    </row>
    <row r="21" spans="2:5">
      <c r="B21" t="s">
        <v>637</v>
      </c>
    </row>
    <row r="23" spans="2:5">
      <c r="D23" s="2" t="s">
        <v>2</v>
      </c>
      <c r="E23" s="2" t="s">
        <v>8</v>
      </c>
    </row>
    <row r="24" spans="2:5">
      <c r="D24" s="1" t="str" cm="1">
        <f t="array" ref="D24:D25">_xlfn.UNIQUE(Dataset!E2:E601)</f>
        <v>Female</v>
      </c>
      <c r="E24" s="1">
        <f>AVERAGEIF(Dataset!$E$2:$E$601,$D24,Dataset!$O$2:$O$601)</f>
        <v>149.87719298245614</v>
      </c>
    </row>
    <row r="25" spans="2:5">
      <c r="D25" s="1" t="str">
        <v>Male</v>
      </c>
      <c r="E25" s="1">
        <f>AVERAGEIF(Dataset!$E$2:$E$601,$D25,Dataset!$O$2:$O$601)</f>
        <v>146.84444444444443</v>
      </c>
    </row>
    <row r="27" spans="2:5">
      <c r="B27" t="s">
        <v>641</v>
      </c>
    </row>
    <row r="28" spans="2:5">
      <c r="B28" s="11"/>
      <c r="D28" s="25" t="s">
        <v>638</v>
      </c>
      <c r="E28" s="27"/>
    </row>
    <row r="29" spans="2:5">
      <c r="D29" s="25" t="s">
        <v>639</v>
      </c>
      <c r="E29" s="27"/>
    </row>
    <row r="30" spans="2:5">
      <c r="D30" s="25" t="s">
        <v>640</v>
      </c>
      <c r="E30" s="27"/>
    </row>
    <row r="31" spans="2:5">
      <c r="D31" s="1">
        <f>COUNTIFS(Dataset!$C$2:$C$601,"&gt;50",Dataset!$Q$2:$Q$601,"Yes",Dataset!$P$2:$P$601,"Yes")</f>
        <v>93</v>
      </c>
    </row>
    <row r="33" spans="4:4">
      <c r="D33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77AA-CD8A-49C8-BA94-94EAE86E51BE}">
  <dimension ref="B2:D10"/>
  <sheetViews>
    <sheetView topLeftCell="I1" zoomScale="124" workbookViewId="0">
      <selection activeCell="D3" sqref="D3"/>
    </sheetView>
  </sheetViews>
  <sheetFormatPr defaultRowHeight="14.5"/>
  <sheetData>
    <row r="2" spans="2:4">
      <c r="B2" t="s">
        <v>645</v>
      </c>
    </row>
    <row r="3" spans="2:4">
      <c r="B3" s="11"/>
      <c r="D3" s="11" t="s">
        <v>642</v>
      </c>
    </row>
    <row r="4" spans="2:4">
      <c r="D4" s="11" t="s">
        <v>643</v>
      </c>
    </row>
    <row r="5" spans="2:4">
      <c r="D5" s="11" t="s">
        <v>644</v>
      </c>
    </row>
    <row r="6" spans="2:4">
      <c r="B6" t="s">
        <v>647</v>
      </c>
    </row>
    <row r="7" spans="2:4">
      <c r="B7" s="11"/>
      <c r="D7" s="11" t="s">
        <v>646</v>
      </c>
    </row>
    <row r="8" spans="2:4">
      <c r="D8" s="11" t="s">
        <v>627</v>
      </c>
    </row>
    <row r="9" spans="2:4">
      <c r="B9" t="s">
        <v>648</v>
      </c>
    </row>
    <row r="10" spans="2:4">
      <c r="D10" s="11" t="s">
        <v>649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120B9-E947-44AC-AD62-278E32D89D20}">
  <dimension ref="B2:D9"/>
  <sheetViews>
    <sheetView zoomScale="126" workbookViewId="0">
      <selection activeCell="G6" sqref="G6"/>
    </sheetView>
  </sheetViews>
  <sheetFormatPr defaultRowHeight="14.5"/>
  <sheetData>
    <row r="2" spans="2:4">
      <c r="B2" t="s">
        <v>651</v>
      </c>
    </row>
    <row r="3" spans="2:4">
      <c r="D3" t="s">
        <v>650</v>
      </c>
    </row>
    <row r="5" spans="2:4">
      <c r="B5" t="s">
        <v>654</v>
      </c>
    </row>
    <row r="6" spans="2:4">
      <c r="B6" s="11"/>
      <c r="C6" s="11" t="s">
        <v>652</v>
      </c>
    </row>
    <row r="7" spans="2:4">
      <c r="C7" s="11" t="s">
        <v>653</v>
      </c>
    </row>
    <row r="9" spans="2:4">
      <c r="B9" t="s">
        <v>655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0A16-193C-4114-8D56-45693074B8A6}">
  <dimension ref="B2:H13"/>
  <sheetViews>
    <sheetView zoomScale="118" workbookViewId="0">
      <selection activeCell="H14" sqref="H14"/>
    </sheetView>
  </sheetViews>
  <sheetFormatPr defaultRowHeight="14.5"/>
  <cols>
    <col min="2" max="2" width="20.453125" customWidth="1"/>
    <col min="3" max="3" width="19.08984375" customWidth="1"/>
    <col min="7" max="7" width="15.26953125" customWidth="1"/>
    <col min="8" max="8" width="15.453125" customWidth="1"/>
  </cols>
  <sheetData>
    <row r="2" spans="2:8" ht="29">
      <c r="B2" s="12" t="s">
        <v>656</v>
      </c>
      <c r="C2" s="12" t="s">
        <v>657</v>
      </c>
      <c r="G2" s="12" t="s">
        <v>692</v>
      </c>
      <c r="H2" s="12" t="s">
        <v>657</v>
      </c>
    </row>
    <row r="3" spans="2:8">
      <c r="B3" s="13" t="s">
        <v>658</v>
      </c>
      <c r="C3" s="13" t="s">
        <v>659</v>
      </c>
      <c r="G3" s="13">
        <v>30</v>
      </c>
      <c r="H3" s="13" t="s">
        <v>659</v>
      </c>
    </row>
    <row r="4" spans="2:8">
      <c r="B4" s="13" t="s">
        <v>660</v>
      </c>
      <c r="C4" s="13" t="s">
        <v>661</v>
      </c>
      <c r="G4" s="13">
        <v>45</v>
      </c>
      <c r="H4" s="13" t="s">
        <v>661</v>
      </c>
    </row>
    <row r="5" spans="2:8">
      <c r="B5" s="13" t="s">
        <v>662</v>
      </c>
      <c r="C5" s="13" t="s">
        <v>663</v>
      </c>
      <c r="G5" s="13">
        <v>60</v>
      </c>
      <c r="H5" s="13" t="s">
        <v>663</v>
      </c>
    </row>
    <row r="7" spans="2:8">
      <c r="B7" t="s">
        <v>664</v>
      </c>
    </row>
    <row r="9" spans="2:8">
      <c r="B9" t="s">
        <v>665</v>
      </c>
    </row>
    <row r="11" spans="2:8">
      <c r="B11" s="4" t="s">
        <v>1</v>
      </c>
      <c r="C11" s="1">
        <v>52</v>
      </c>
    </row>
    <row r="12" spans="2:8">
      <c r="B12" s="30" t="s">
        <v>691</v>
      </c>
      <c r="C12" s="1" t="str">
        <f>INDEX(Dataset!$A$1:$S$601,MATCH($C$11,Dataset!$C$1:$C$601,0),MATCH($B$12,Dataset!$A$1:$S$1,0))</f>
        <v>Medium</v>
      </c>
    </row>
    <row r="13" spans="2:8">
      <c r="C13" s="1" t="s">
        <v>693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CA8DA-E0B0-4001-B812-1721A1FA9B6F}">
  <dimension ref="B2:F58"/>
  <sheetViews>
    <sheetView tabSelected="1" topLeftCell="A31" zoomScale="121" workbookViewId="0">
      <selection activeCell="H39" sqref="H39"/>
    </sheetView>
  </sheetViews>
  <sheetFormatPr defaultRowHeight="14.5"/>
  <cols>
    <col min="2" max="2" width="12.453125" bestFit="1" customWidth="1"/>
    <col min="3" max="3" width="20.7265625" bestFit="1" customWidth="1"/>
    <col min="4" max="4" width="17" bestFit="1" customWidth="1"/>
  </cols>
  <sheetData>
    <row r="2" spans="2:3">
      <c r="B2" t="s">
        <v>667</v>
      </c>
    </row>
    <row r="3" spans="2:3">
      <c r="B3" s="11"/>
      <c r="C3" s="11" t="s">
        <v>666</v>
      </c>
    </row>
    <row r="4" spans="2:3">
      <c r="B4" s="11"/>
      <c r="C4" s="11"/>
    </row>
    <row r="5" spans="2:3">
      <c r="B5" s="31" t="s">
        <v>2</v>
      </c>
      <c r="C5" s="1" t="s">
        <v>695</v>
      </c>
    </row>
    <row r="6" spans="2:3">
      <c r="B6" s="32" t="s">
        <v>12</v>
      </c>
      <c r="C6" s="23">
        <v>285</v>
      </c>
    </row>
    <row r="7" spans="2:3">
      <c r="B7" s="32" t="s">
        <v>18</v>
      </c>
      <c r="C7" s="23">
        <v>315</v>
      </c>
    </row>
    <row r="8" spans="2:3">
      <c r="B8" s="32" t="s">
        <v>694</v>
      </c>
      <c r="C8" s="23">
        <v>600</v>
      </c>
    </row>
    <row r="10" spans="2:3">
      <c r="B10" t="s">
        <v>669</v>
      </c>
    </row>
    <row r="11" spans="2:3">
      <c r="B11" s="11"/>
      <c r="C11" s="11" t="s">
        <v>668</v>
      </c>
    </row>
    <row r="12" spans="2:3">
      <c r="B12" s="11"/>
      <c r="C12" s="11"/>
    </row>
    <row r="13" spans="2:3">
      <c r="B13" s="31" t="s">
        <v>696</v>
      </c>
      <c r="C13" s="1" t="s">
        <v>697</v>
      </c>
    </row>
    <row r="14" spans="2:3">
      <c r="B14" s="32" t="s">
        <v>25</v>
      </c>
      <c r="C14" s="23">
        <v>234.06766917293234</v>
      </c>
    </row>
    <row r="15" spans="2:3">
      <c r="B15" s="32" t="s">
        <v>22</v>
      </c>
      <c r="C15" s="23">
        <v>226.81818181818181</v>
      </c>
    </row>
    <row r="16" spans="2:3">
      <c r="B16" s="32" t="s">
        <v>13</v>
      </c>
      <c r="C16" s="23">
        <v>238.32051282051282</v>
      </c>
    </row>
    <row r="17" spans="2:3">
      <c r="B17" s="32" t="s">
        <v>19</v>
      </c>
      <c r="C17" s="23">
        <v>229.71974522292993</v>
      </c>
    </row>
    <row r="18" spans="2:3">
      <c r="B18" s="32" t="s">
        <v>694</v>
      </c>
      <c r="C18" s="23">
        <v>232.17500000000001</v>
      </c>
    </row>
    <row r="20" spans="2:3">
      <c r="B20" t="s">
        <v>672</v>
      </c>
    </row>
    <row r="21" spans="2:3">
      <c r="B21" s="11"/>
      <c r="C21" s="11" t="s">
        <v>670</v>
      </c>
    </row>
    <row r="22" spans="2:3">
      <c r="C22" s="11" t="s">
        <v>671</v>
      </c>
    </row>
    <row r="23" spans="2:3">
      <c r="C23" s="11"/>
    </row>
    <row r="24" spans="2:3">
      <c r="B24" s="31" t="s">
        <v>1</v>
      </c>
      <c r="C24" s="1" t="s">
        <v>701</v>
      </c>
    </row>
    <row r="25" spans="2:3">
      <c r="B25" s="32" t="s">
        <v>698</v>
      </c>
      <c r="C25" s="33">
        <v>2.3333333333333334E-2</v>
      </c>
    </row>
    <row r="26" spans="2:3">
      <c r="B26" s="32" t="s">
        <v>658</v>
      </c>
      <c r="C26" s="33">
        <v>0.26666666666666666</v>
      </c>
    </row>
    <row r="27" spans="2:3">
      <c r="B27" s="32" t="s">
        <v>700</v>
      </c>
      <c r="C27" s="33">
        <v>0.31833333333333336</v>
      </c>
    </row>
    <row r="28" spans="2:3">
      <c r="B28" s="32" t="s">
        <v>699</v>
      </c>
      <c r="C28" s="33">
        <v>0.39166666666666666</v>
      </c>
    </row>
    <row r="29" spans="2:3">
      <c r="B29" s="32" t="s">
        <v>694</v>
      </c>
      <c r="C29" s="34">
        <v>1</v>
      </c>
    </row>
    <row r="32" spans="2:3">
      <c r="B32" t="s">
        <v>673</v>
      </c>
    </row>
    <row r="34" spans="2:3">
      <c r="B34" s="31" t="s">
        <v>707</v>
      </c>
      <c r="C34" s="1" t="s">
        <v>708</v>
      </c>
    </row>
    <row r="35" spans="2:3">
      <c r="B35" s="32" t="s">
        <v>706</v>
      </c>
      <c r="C35" s="23">
        <v>349</v>
      </c>
    </row>
    <row r="36" spans="2:3">
      <c r="B36" s="32" t="s">
        <v>702</v>
      </c>
      <c r="C36" s="23">
        <v>348</v>
      </c>
    </row>
    <row r="37" spans="2:3">
      <c r="B37" s="32" t="s">
        <v>705</v>
      </c>
      <c r="C37" s="23">
        <v>348</v>
      </c>
    </row>
    <row r="38" spans="2:3">
      <c r="B38" s="32" t="s">
        <v>703</v>
      </c>
      <c r="C38" s="23">
        <v>348</v>
      </c>
    </row>
    <row r="39" spans="2:3">
      <c r="B39" s="32" t="s">
        <v>704</v>
      </c>
      <c r="C39" s="23">
        <v>348</v>
      </c>
    </row>
    <row r="40" spans="2:3">
      <c r="B40" s="32" t="s">
        <v>694</v>
      </c>
      <c r="C40" s="23">
        <v>1741</v>
      </c>
    </row>
    <row r="42" spans="2:3">
      <c r="B42" t="s">
        <v>674</v>
      </c>
    </row>
    <row r="44" spans="2:3">
      <c r="B44" s="31" t="s">
        <v>709</v>
      </c>
      <c r="C44" s="1" t="s">
        <v>695</v>
      </c>
    </row>
    <row r="45" spans="2:3">
      <c r="B45" s="32" t="s">
        <v>19</v>
      </c>
      <c r="C45" s="23">
        <v>157</v>
      </c>
    </row>
    <row r="46" spans="2:3">
      <c r="B46" s="32" t="s">
        <v>694</v>
      </c>
      <c r="C46" s="23">
        <v>157</v>
      </c>
    </row>
    <row r="48" spans="2:3" ht="15" thickBot="1"/>
    <row r="49" spans="2:6">
      <c r="B49" s="14" t="s">
        <v>675</v>
      </c>
      <c r="E49" s="15"/>
      <c r="F49" s="16"/>
    </row>
    <row r="50" spans="2:6">
      <c r="B50" s="17"/>
      <c r="E50" s="18"/>
      <c r="F50" s="19"/>
    </row>
    <row r="51" spans="2:6">
      <c r="B51" s="17" t="s">
        <v>676</v>
      </c>
      <c r="E51" s="18"/>
      <c r="F51" s="19"/>
    </row>
    <row r="52" spans="2:6">
      <c r="B52" s="17"/>
      <c r="E52" s="18"/>
      <c r="F52" s="19"/>
    </row>
    <row r="53" spans="2:6">
      <c r="B53" s="17" t="s">
        <v>677</v>
      </c>
      <c r="E53" s="18"/>
      <c r="F53" s="19"/>
    </row>
    <row r="54" spans="2:6">
      <c r="B54" s="17"/>
      <c r="E54" s="18"/>
      <c r="F54" s="19"/>
    </row>
    <row r="55" spans="2:6">
      <c r="B55" s="17" t="s">
        <v>678</v>
      </c>
      <c r="E55" s="18"/>
      <c r="F55" s="19"/>
    </row>
    <row r="56" spans="2:6">
      <c r="B56" s="17"/>
      <c r="E56" s="18"/>
      <c r="F56" s="19"/>
    </row>
    <row r="57" spans="2:6">
      <c r="B57" s="17" t="s">
        <v>679</v>
      </c>
      <c r="E57" s="18"/>
      <c r="F57" s="19"/>
    </row>
    <row r="58" spans="2:6" ht="15" thickBot="1">
      <c r="B58" s="20"/>
      <c r="E58" s="21"/>
      <c r="F58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BD74-13C2-40BF-9460-D8CCAC47F46A}">
  <dimension ref="A1:A3"/>
  <sheetViews>
    <sheetView showGridLines="0" zoomScale="111" workbookViewId="0">
      <selection activeCell="B4" sqref="B4"/>
    </sheetView>
  </sheetViews>
  <sheetFormatPr defaultRowHeight="14.5"/>
  <sheetData>
    <row r="1" s="35" customFormat="1"/>
    <row r="2" s="35" customFormat="1"/>
    <row r="3" s="35" customFormat="1"/>
  </sheetData>
  <mergeCells count="3">
    <mergeCell ref="A3:XFD3"/>
    <mergeCell ref="A2:XFD2"/>
    <mergeCell ref="A1:XF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Data Cleaning &amp; Preparation</vt:lpstr>
      <vt:lpstr>Core Excel Functions</vt:lpstr>
      <vt:lpstr>Logical &amp; Business Logic</vt:lpstr>
      <vt:lpstr>Text Functions</vt:lpstr>
      <vt:lpstr>Lookup &amp; Reference</vt:lpstr>
      <vt:lpstr>Pivot Tables</vt:lpstr>
      <vt:lpstr>Dashboards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KASHISH MAKKAR</cp:lastModifiedBy>
  <dcterms:created xsi:type="dcterms:W3CDTF">2026-01-27T16:10:44Z</dcterms:created>
  <dcterms:modified xsi:type="dcterms:W3CDTF">2026-01-29T06:10:19Z</dcterms:modified>
</cp:coreProperties>
</file>